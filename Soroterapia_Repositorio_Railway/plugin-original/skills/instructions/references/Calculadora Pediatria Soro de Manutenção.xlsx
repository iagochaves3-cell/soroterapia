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LANTONISTA\Desktop\"/>
    </mc:Choice>
  </mc:AlternateContent>
  <xr:revisionPtr revIDLastSave="0" documentId="8_{342B91F2-4881-4C5F-8928-6086AEBB45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 da Exportação" sheetId="1" r:id="rId1"/>
    <sheet name="Até 10 Kg SF" sheetId="2" r:id="rId2"/>
    <sheet name="10 a 20 Kg" sheetId="3" r:id="rId3"/>
    <sheet name="Acima de 20 Kg" sheetId="4" r:id="rId4"/>
    <sheet name="Até 10 Kg 10%" sheetId="5" r:id="rId5"/>
    <sheet name="Até 10 Kg 20%" sheetId="6" r:id="rId6"/>
    <sheet name="10 a 20 Kg parcial" sheetId="7" r:id="rId7"/>
    <sheet name="Acima de 20 Kg parcial" sheetId="8" r:id="rId8"/>
  </sheets>
  <calcPr calcId="191029"/>
  <extLst>
    <ext uri="GoogleSheetsCustomDataVersion2">
      <go:sheetsCustomData xmlns:go="http://customooxmlschemas.google.com/" r:id="rId12" roundtripDataChecksum="Tl99k0ZXygjh7xLWSqyXtLuIixiFp8iXJ/KANHHuwu0="/>
    </ext>
  </extLst>
</workbook>
</file>

<file path=xl/calcChain.xml><?xml version="1.0" encoding="utf-8"?>
<calcChain xmlns="http://schemas.openxmlformats.org/spreadsheetml/2006/main">
  <c r="F29" i="8" l="1"/>
  <c r="E29" i="8"/>
  <c r="B21" i="8"/>
  <c r="B11" i="8"/>
  <c r="D33" i="8" s="1"/>
  <c r="B9" i="8"/>
  <c r="C31" i="8" s="1"/>
  <c r="B7" i="8"/>
  <c r="B29" i="8" s="1"/>
  <c r="B31" i="7"/>
  <c r="F29" i="7"/>
  <c r="B21" i="7"/>
  <c r="B11" i="7"/>
  <c r="E33" i="7" s="1"/>
  <c r="B9" i="7"/>
  <c r="D31" i="7" s="1"/>
  <c r="B7" i="7"/>
  <c r="C29" i="7" s="1"/>
  <c r="B21" i="6"/>
  <c r="B11" i="6"/>
  <c r="B33" i="6" s="1"/>
  <c r="B9" i="6"/>
  <c r="B31" i="6" s="1"/>
  <c r="B7" i="6"/>
  <c r="B29" i="6" s="1"/>
  <c r="B21" i="5"/>
  <c r="B11" i="5"/>
  <c r="B33" i="5" s="1"/>
  <c r="B9" i="5"/>
  <c r="B31" i="5" s="1"/>
  <c r="B7" i="5"/>
  <c r="B29" i="5" s="1"/>
  <c r="B21" i="4"/>
  <c r="B11" i="4"/>
  <c r="D33" i="4" s="1"/>
  <c r="B9" i="4"/>
  <c r="C31" i="4" s="1"/>
  <c r="E3" i="4"/>
  <c r="B21" i="3"/>
  <c r="E3" i="3"/>
  <c r="B7" i="3" s="1"/>
  <c r="B21" i="2"/>
  <c r="B11" i="2"/>
  <c r="B33" i="2" s="1"/>
  <c r="B9" i="2"/>
  <c r="B31" i="2" s="1"/>
  <c r="B7" i="2"/>
  <c r="B29" i="2" s="1"/>
  <c r="B5" i="6" l="1"/>
  <c r="B27" i="6" s="1"/>
  <c r="D29" i="3"/>
  <c r="B29" i="3"/>
  <c r="C29" i="3"/>
  <c r="F29" i="3"/>
  <c r="E29" i="3"/>
  <c r="F31" i="4"/>
  <c r="B17" i="5"/>
  <c r="B15" i="5" s="1"/>
  <c r="B19" i="5" s="1"/>
  <c r="F31" i="8"/>
  <c r="B33" i="8"/>
  <c r="B9" i="3"/>
  <c r="D31" i="4"/>
  <c r="E33" i="4"/>
  <c r="B17" i="7"/>
  <c r="B15" i="7" s="1"/>
  <c r="B19" i="7" s="1"/>
  <c r="B5" i="7" s="1"/>
  <c r="D29" i="7"/>
  <c r="E31" i="7"/>
  <c r="F33" i="7"/>
  <c r="C29" i="8"/>
  <c r="D31" i="8"/>
  <c r="E33" i="8"/>
  <c r="B17" i="2"/>
  <c r="B15" i="2" s="1"/>
  <c r="B19" i="2" s="1"/>
  <c r="B11" i="3"/>
  <c r="B17" i="3" s="1"/>
  <c r="B15" i="3" s="1"/>
  <c r="B19" i="3" s="1"/>
  <c r="B5" i="3" s="1"/>
  <c r="B7" i="4"/>
  <c r="E31" i="4"/>
  <c r="F33" i="4"/>
  <c r="E29" i="7"/>
  <c r="F31" i="7"/>
  <c r="B17" i="8"/>
  <c r="B15" i="8" s="1"/>
  <c r="B19" i="8" s="1"/>
  <c r="B5" i="8" s="1"/>
  <c r="D29" i="8"/>
  <c r="E31" i="8"/>
  <c r="F33" i="8"/>
  <c r="B33" i="7"/>
  <c r="B31" i="4"/>
  <c r="C33" i="4"/>
  <c r="B17" i="6"/>
  <c r="B15" i="6" s="1"/>
  <c r="B19" i="6" s="1"/>
  <c r="B29" i="7"/>
  <c r="C31" i="7"/>
  <c r="D33" i="7"/>
  <c r="B31" i="8"/>
  <c r="C33" i="8"/>
  <c r="B33" i="4"/>
  <c r="C33" i="7"/>
  <c r="C27" i="3" l="1"/>
  <c r="B27" i="3"/>
  <c r="E21" i="3"/>
  <c r="B3" i="3" s="1"/>
  <c r="E27" i="3"/>
  <c r="D27" i="3"/>
  <c r="F27" i="3"/>
  <c r="B5" i="2"/>
  <c r="B27" i="2" s="1"/>
  <c r="B5" i="5"/>
  <c r="B27" i="5" s="1"/>
  <c r="B27" i="7"/>
  <c r="E21" i="7"/>
  <c r="B3" i="7" s="1"/>
  <c r="F27" i="7"/>
  <c r="E27" i="7"/>
  <c r="D27" i="7"/>
  <c r="C27" i="7"/>
  <c r="F27" i="8"/>
  <c r="E27" i="8"/>
  <c r="C27" i="8"/>
  <c r="D27" i="8"/>
  <c r="B27" i="8"/>
  <c r="E21" i="8"/>
  <c r="B3" i="8" s="1"/>
  <c r="F33" i="3"/>
  <c r="D33" i="3"/>
  <c r="C33" i="3"/>
  <c r="E33" i="3"/>
  <c r="B33" i="3"/>
  <c r="B3" i="6"/>
  <c r="B29" i="4"/>
  <c r="F29" i="4"/>
  <c r="E29" i="4"/>
  <c r="D29" i="4"/>
  <c r="B17" i="4"/>
  <c r="B15" i="4" s="1"/>
  <c r="B19" i="4" s="1"/>
  <c r="B5" i="4" s="1"/>
  <c r="C29" i="4"/>
  <c r="E31" i="3"/>
  <c r="D31" i="3"/>
  <c r="B31" i="3"/>
  <c r="F31" i="3"/>
  <c r="C31" i="3"/>
  <c r="E15" i="7" l="1"/>
  <c r="E17" i="7" s="1"/>
  <c r="E25" i="7"/>
  <c r="E35" i="7" s="1"/>
  <c r="E37" i="7" s="1"/>
  <c r="F25" i="7"/>
  <c r="F35" i="7" s="1"/>
  <c r="F37" i="7" s="1"/>
  <c r="C25" i="7"/>
  <c r="C35" i="7" s="1"/>
  <c r="C37" i="7" s="1"/>
  <c r="B25" i="7"/>
  <c r="B35" i="7" s="1"/>
  <c r="B37" i="7" s="1"/>
  <c r="E19" i="7"/>
  <c r="E13" i="7" s="1"/>
  <c r="D25" i="7"/>
  <c r="D35" i="7" s="1"/>
  <c r="D37" i="7" s="1"/>
  <c r="F25" i="8"/>
  <c r="F35" i="8" s="1"/>
  <c r="F37" i="8" s="1"/>
  <c r="D25" i="8"/>
  <c r="D35" i="8" s="1"/>
  <c r="D37" i="8" s="1"/>
  <c r="E25" i="8"/>
  <c r="E35" i="8" s="1"/>
  <c r="E37" i="8" s="1"/>
  <c r="E19" i="8"/>
  <c r="E13" i="8" s="1"/>
  <c r="B25" i="8"/>
  <c r="B35" i="8" s="1"/>
  <c r="B37" i="8" s="1"/>
  <c r="E15" i="8"/>
  <c r="E17" i="8" s="1"/>
  <c r="C25" i="8"/>
  <c r="C35" i="8" s="1"/>
  <c r="C37" i="8" s="1"/>
  <c r="B3" i="5"/>
  <c r="E27" i="4"/>
  <c r="F27" i="4"/>
  <c r="C27" i="4"/>
  <c r="B27" i="4"/>
  <c r="E21" i="4"/>
  <c r="B3" i="4" s="1"/>
  <c r="D27" i="4"/>
  <c r="E19" i="6"/>
  <c r="B25" i="6"/>
  <c r="B35" i="6" s="1"/>
  <c r="B37" i="6" s="1"/>
  <c r="E15" i="6"/>
  <c r="E17" i="6" s="1"/>
  <c r="B25" i="3"/>
  <c r="B35" i="3" s="1"/>
  <c r="B37" i="3" s="1"/>
  <c r="E15" i="3"/>
  <c r="E17" i="3" s="1"/>
  <c r="E19" i="3"/>
  <c r="E13" i="3" s="1"/>
  <c r="D25" i="3"/>
  <c r="D35" i="3" s="1"/>
  <c r="D37" i="3" s="1"/>
  <c r="E25" i="3"/>
  <c r="E35" i="3" s="1"/>
  <c r="E37" i="3" s="1"/>
  <c r="C25" i="3"/>
  <c r="C35" i="3" s="1"/>
  <c r="C37" i="3" s="1"/>
  <c r="F25" i="3"/>
  <c r="F35" i="3" s="1"/>
  <c r="F37" i="3" s="1"/>
  <c r="B3" i="2"/>
  <c r="E13" i="6" l="1"/>
  <c r="E19" i="2"/>
  <c r="B25" i="2"/>
  <c r="B35" i="2" s="1"/>
  <c r="B37" i="2" s="1"/>
  <c r="E15" i="2"/>
  <c r="E17" i="2" s="1"/>
  <c r="F25" i="4"/>
  <c r="F35" i="4" s="1"/>
  <c r="F37" i="4" s="1"/>
  <c r="E25" i="4"/>
  <c r="E35" i="4" s="1"/>
  <c r="E37" i="4" s="1"/>
  <c r="E19" i="4"/>
  <c r="E13" i="4" s="1"/>
  <c r="C25" i="4"/>
  <c r="C35" i="4" s="1"/>
  <c r="C37" i="4" s="1"/>
  <c r="B25" i="4"/>
  <c r="B35" i="4" s="1"/>
  <c r="B37" i="4" s="1"/>
  <c r="D25" i="4"/>
  <c r="D35" i="4" s="1"/>
  <c r="D37" i="4" s="1"/>
  <c r="E15" i="4"/>
  <c r="E17" i="4" s="1"/>
  <c r="E19" i="5"/>
  <c r="E13" i="5" s="1"/>
  <c r="B25" i="5"/>
  <c r="B35" i="5" s="1"/>
  <c r="B37" i="5" s="1"/>
  <c r="E15" i="5"/>
  <c r="E17" i="5" s="1"/>
  <c r="E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ID#AAABcwXyxro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Scr5UxnsV9paCS6EhQt6MMuRh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ID#AAABcwXyxrc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+kT8o8R6WpAGVqKlx6eGGz5c2m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ID#AAABcwXyxrg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LjQ4FMCWkwUsxRWjgPharXrCk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ID#AAABcwXyxrY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6DwWTnsi7Nt74slDZj/NK4sjN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ID#AAABcwXyxrk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mAUedcXpbTps0RbJ0QHStKRet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ID#AAABcwXyxrQ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x1y/CfQsCT+loYwrPuIjtlOySg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ID#AAABcwXyxrU
Autor Importado    (2025-01-26 05:10:27)
Gramas de Glicose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3qWC4OyMLhKJTd0ZJd3g9XQIvQ=="/>
    </ext>
  </extLst>
</comments>
</file>

<file path=xl/sharedStrings.xml><?xml version="1.0" encoding="utf-8"?>
<sst xmlns="http://schemas.openxmlformats.org/spreadsheetml/2006/main" count="316" uniqueCount="54">
  <si>
    <t>Este documento foi exportado do Numbers. Cada tabela foi convertida em uma planilha do Excel. Todos os outros objetos em cada folha do Numbers foram colocados em planilhas à parte. Esteja ciente de que os cálculos de fórmulas podem ser diferentes no Excel.</t>
  </si>
  <si>
    <t>Nome da Folha do Numbers</t>
  </si>
  <si>
    <t>Nome da Tabela do Numbers</t>
  </si>
  <si>
    <t>Nome da Planilha do Excel</t>
  </si>
  <si>
    <t>Até 10 Kg SF</t>
  </si>
  <si>
    <t>Tabela 1</t>
  </si>
  <si>
    <t>10 a 20 Kg</t>
  </si>
  <si>
    <t>Acima de 20 Kg</t>
  </si>
  <si>
    <t>Até 10 Kg 10%</t>
  </si>
  <si>
    <t>Até 10 Kg 20%</t>
  </si>
  <si>
    <t>10 a 20 Kg parcial</t>
  </si>
  <si>
    <t>Acima de 20 Kg parcial</t>
  </si>
  <si>
    <t>CÁLCULO DE SORO ATÉ 10 Kg</t>
  </si>
  <si>
    <t>SGI 5%</t>
  </si>
  <si>
    <t>ml</t>
  </si>
  <si>
    <t>AH</t>
  </si>
  <si>
    <t>ml/Kg/24 h</t>
  </si>
  <si>
    <t>SGH 50%</t>
  </si>
  <si>
    <t>TIG</t>
  </si>
  <si>
    <t>mg/Kg/min</t>
  </si>
  <si>
    <t>SF 0,9%</t>
  </si>
  <si>
    <t>Na</t>
  </si>
  <si>
    <t>mEq/Kg/24 h</t>
  </si>
  <si>
    <t>KCl 10%</t>
  </si>
  <si>
    <t>K</t>
  </si>
  <si>
    <t>GluCa 10%</t>
  </si>
  <si>
    <t>Ca</t>
  </si>
  <si>
    <t>mg/Kg/24 h</t>
  </si>
  <si>
    <t>PESO</t>
  </si>
  <si>
    <t>Kg</t>
  </si>
  <si>
    <t>[   ]</t>
  </si>
  <si>
    <t>%</t>
  </si>
  <si>
    <t>calcular</t>
  </si>
  <si>
    <t>TOTAL</t>
  </si>
  <si>
    <t>B</t>
  </si>
  <si>
    <t>FLUXO</t>
  </si>
  <si>
    <t>ml/h</t>
  </si>
  <si>
    <t>C</t>
  </si>
  <si>
    <t>E</t>
  </si>
  <si>
    <t>D</t>
  </si>
  <si>
    <t>No ESQUEMAS</t>
  </si>
  <si>
    <t>SGI  5%</t>
  </si>
  <si>
    <t>GluCa10%</t>
  </si>
  <si>
    <t>TOTAL/ESQ</t>
  </si>
  <si>
    <t>CÁLCULO DE SORO 10 A 20Kg</t>
  </si>
  <si>
    <t>ml/24 h</t>
  </si>
  <si>
    <t>mEq/100 ml/24 h</t>
  </si>
  <si>
    <t>mg/100 ml/24 h</t>
  </si>
  <si>
    <t>F</t>
  </si>
  <si>
    <t>CÁLCULO DE SORO ACIMA DE 20Kg</t>
  </si>
  <si>
    <t>NaCl 10%</t>
  </si>
  <si>
    <t>NaCl 20%</t>
  </si>
  <si>
    <t>CÁLCULO DE SORO 10 A 20Kg - parcial</t>
  </si>
  <si>
    <t>CÁLCULO DE SORO ACIMA DE 20Kg -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</si>
</sst>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;0.0"/>
    <numFmt numFmtId="165" formatCode="#,##0;#,##0"/>
    <numFmt numFmtId="166" formatCode="0.0000;0.0000"/>
    <numFmt numFmtId="167" formatCode="0.000;0.000"/>
    <numFmt numFmtId="168" formatCode="0.0"/>
    <numFmt numFmtId="169" formatCode="#,#00;#,#00"/>
    <numFmt numFmtId="170" formatCode="0;0"/>
    <numFmt numFmtId="171" formatCode="#,000;#,000"/>
    <numFmt numFmtId="172" formatCode="0.000"/>
  </numFmts>
  <fonts count="11" x14ac:knownFonts="1">
    <font>
      <sz val="10"/>
      <color rgb="FF000000"/>
      <name val="Arial"/>
      <scheme val="minor"/>
    </font>
    <font>
      <sz val="12"/>
      <color rgb="FF000000"/>
      <name val="Arial"/>
    </font>
    <font>
      <sz val="14"/>
      <color rgb="FF000000"/>
      <name val="Arial"/>
    </font>
    <font>
      <u/>
      <sz val="12"/>
      <color rgb="FF0000FF"/>
      <name val="Arial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rgb="FF333399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808080"/>
      <name val="Arial"/>
    </font>
  </fonts>
  <fills count="10">
    <fill>
      <patternFill patternType="none"/>
    </fill>
    <fill>
      <patternFill patternType="gray125"/>
    </fill>
    <fill>
      <patternFill patternType="solid">
        <fgColor rgb="FF5E88B1"/>
        <bgColor rgb="FF5E88B1"/>
      </patternFill>
    </fill>
    <fill>
      <patternFill patternType="solid">
        <fgColor rgb="FFEEF3F4"/>
        <bgColor rgb="FFEEF3F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DD0806"/>
        <bgColor rgb="FFDD0806"/>
      </patternFill>
    </fill>
    <fill>
      <patternFill patternType="solid">
        <fgColor rgb="FFC0C0C0"/>
        <bgColor rgb="FFC0C0C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6" fillId="4" borderId="5" xfId="0" applyFont="1" applyFill="1" applyBorder="1"/>
    <xf numFmtId="0" fontId="6" fillId="0" borderId="0" xfId="0" applyFont="1"/>
    <xf numFmtId="0" fontId="6" fillId="4" borderId="6" xfId="0" applyFont="1" applyFill="1" applyBorder="1"/>
    <xf numFmtId="49" fontId="7" fillId="5" borderId="7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49" fontId="7" fillId="5" borderId="1" xfId="0" applyNumberFormat="1" applyFont="1" applyFill="1" applyBorder="1"/>
    <xf numFmtId="49" fontId="4" fillId="4" borderId="8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4" fillId="4" borderId="8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/>
    <xf numFmtId="0" fontId="6" fillId="4" borderId="11" xfId="0" applyFont="1" applyFill="1" applyBorder="1"/>
    <xf numFmtId="0" fontId="4" fillId="4" borderId="6" xfId="0" applyFont="1" applyFill="1" applyBorder="1" applyAlignment="1">
      <alignment horizontal="center"/>
    </xf>
    <xf numFmtId="166" fontId="4" fillId="4" borderId="12" xfId="0" applyNumberFormat="1" applyFont="1" applyFill="1" applyBorder="1" applyAlignment="1">
      <alignment horizontal="center"/>
    </xf>
    <xf numFmtId="49" fontId="4" fillId="4" borderId="13" xfId="0" applyNumberFormat="1" applyFont="1" applyFill="1" applyBorder="1" applyAlignment="1">
      <alignment horizontal="center"/>
    </xf>
    <xf numFmtId="167" fontId="4" fillId="6" borderId="1" xfId="0" applyNumberFormat="1" applyFont="1" applyFill="1" applyBorder="1" applyAlignment="1">
      <alignment horizontal="center"/>
    </xf>
    <xf numFmtId="49" fontId="6" fillId="4" borderId="8" xfId="0" applyNumberFormat="1" applyFont="1" applyFill="1" applyBorder="1"/>
    <xf numFmtId="49" fontId="4" fillId="7" borderId="1" xfId="0" applyNumberFormat="1" applyFont="1" applyFill="1" applyBorder="1" applyAlignment="1">
      <alignment horizontal="center"/>
    </xf>
    <xf numFmtId="168" fontId="4" fillId="7" borderId="1" xfId="0" applyNumberFormat="1" applyFont="1" applyFill="1" applyBorder="1" applyAlignment="1">
      <alignment horizontal="center"/>
    </xf>
    <xf numFmtId="49" fontId="6" fillId="7" borderId="1" xfId="0" applyNumberFormat="1" applyFont="1" applyFill="1" applyBorder="1"/>
    <xf numFmtId="0" fontId="6" fillId="4" borderId="10" xfId="0" applyFont="1" applyFill="1" applyBorder="1"/>
    <xf numFmtId="0" fontId="6" fillId="4" borderId="12" xfId="0" applyFont="1" applyFill="1" applyBorder="1" applyAlignment="1">
      <alignment horizontal="center"/>
    </xf>
    <xf numFmtId="168" fontId="4" fillId="4" borderId="12" xfId="0" applyNumberFormat="1" applyFont="1" applyFill="1" applyBorder="1" applyAlignment="1">
      <alignment horizontal="center"/>
    </xf>
    <xf numFmtId="0" fontId="6" fillId="4" borderId="12" xfId="0" applyFont="1" applyFill="1" applyBorder="1"/>
    <xf numFmtId="49" fontId="8" fillId="8" borderId="7" xfId="0" applyNumberFormat="1" applyFont="1" applyFill="1" applyBorder="1" applyAlignment="1">
      <alignment horizontal="center"/>
    </xf>
    <xf numFmtId="164" fontId="9" fillId="4" borderId="10" xfId="0" applyNumberFormat="1" applyFont="1" applyFill="1" applyBorder="1" applyAlignment="1">
      <alignment horizontal="left"/>
    </xf>
    <xf numFmtId="169" fontId="6" fillId="4" borderId="13" xfId="0" applyNumberFormat="1" applyFont="1" applyFill="1" applyBorder="1"/>
    <xf numFmtId="49" fontId="7" fillId="5" borderId="1" xfId="0" applyNumberFormat="1" applyFont="1" applyFill="1" applyBorder="1" applyAlignment="1">
      <alignment horizontal="center"/>
    </xf>
    <xf numFmtId="168" fontId="7" fillId="5" borderId="1" xfId="0" applyNumberFormat="1" applyFont="1" applyFill="1" applyBorder="1" applyAlignment="1">
      <alignment horizontal="center"/>
    </xf>
    <xf numFmtId="169" fontId="9" fillId="4" borderId="11" xfId="0" applyNumberFormat="1" applyFont="1" applyFill="1" applyBorder="1" applyAlignment="1">
      <alignment horizontal="right"/>
    </xf>
    <xf numFmtId="169" fontId="9" fillId="4" borderId="5" xfId="0" applyNumberFormat="1" applyFont="1" applyFill="1" applyBorder="1" applyAlignment="1">
      <alignment horizontal="left"/>
    </xf>
    <xf numFmtId="169" fontId="6" fillId="4" borderId="5" xfId="0" applyNumberFormat="1" applyFont="1" applyFill="1" applyBorder="1"/>
    <xf numFmtId="0" fontId="7" fillId="4" borderId="12" xfId="0" applyFont="1" applyFill="1" applyBorder="1" applyAlignment="1">
      <alignment horizontal="center"/>
    </xf>
    <xf numFmtId="168" fontId="7" fillId="4" borderId="12" xfId="0" applyNumberFormat="1" applyFont="1" applyFill="1" applyBorder="1" applyAlignment="1">
      <alignment horizontal="right"/>
    </xf>
    <xf numFmtId="0" fontId="7" fillId="4" borderId="12" xfId="0" applyFont="1" applyFill="1" applyBorder="1"/>
    <xf numFmtId="49" fontId="9" fillId="4" borderId="5" xfId="0" applyNumberFormat="1" applyFont="1" applyFill="1" applyBorder="1" applyAlignment="1">
      <alignment horizontal="right"/>
    </xf>
    <xf numFmtId="164" fontId="9" fillId="4" borderId="5" xfId="0" applyNumberFormat="1" applyFont="1" applyFill="1" applyBorder="1" applyAlignment="1">
      <alignment horizontal="left"/>
    </xf>
    <xf numFmtId="169" fontId="9" fillId="4" borderId="5" xfId="0" applyNumberFormat="1" applyFont="1" applyFill="1" applyBorder="1" applyAlignment="1">
      <alignment horizontal="right"/>
    </xf>
    <xf numFmtId="169" fontId="6" fillId="4" borderId="6" xfId="0" applyNumberFormat="1" applyFont="1" applyFill="1" applyBorder="1"/>
    <xf numFmtId="49" fontId="4" fillId="9" borderId="7" xfId="0" applyNumberFormat="1" applyFont="1" applyFill="1" applyBorder="1"/>
    <xf numFmtId="0" fontId="4" fillId="9" borderId="1" xfId="0" applyFont="1" applyFill="1" applyBorder="1" applyAlignment="1">
      <alignment horizontal="center"/>
    </xf>
    <xf numFmtId="168" fontId="7" fillId="5" borderId="1" xfId="0" applyNumberFormat="1" applyFont="1" applyFill="1" applyBorder="1"/>
    <xf numFmtId="168" fontId="6" fillId="4" borderId="11" xfId="0" applyNumberFormat="1" applyFont="1" applyFill="1" applyBorder="1"/>
    <xf numFmtId="168" fontId="10" fillId="4" borderId="5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left"/>
    </xf>
    <xf numFmtId="0" fontId="4" fillId="4" borderId="14" xfId="0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6" fillId="4" borderId="13" xfId="0" applyFont="1" applyFill="1" applyBorder="1"/>
    <xf numFmtId="0" fontId="9" fillId="4" borderId="11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right"/>
    </xf>
    <xf numFmtId="2" fontId="9" fillId="4" borderId="5" xfId="0" applyNumberFormat="1" applyFont="1" applyFill="1" applyBorder="1" applyAlignment="1">
      <alignment horizontal="left"/>
    </xf>
    <xf numFmtId="0" fontId="4" fillId="4" borderId="10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70" fontId="6" fillId="4" borderId="10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168" fontId="4" fillId="4" borderId="5" xfId="0" applyNumberFormat="1" applyFont="1" applyFill="1" applyBorder="1" applyAlignment="1">
      <alignment horizontal="center"/>
    </xf>
    <xf numFmtId="170" fontId="4" fillId="4" borderId="5" xfId="0" applyNumberFormat="1" applyFont="1" applyFill="1" applyBorder="1" applyAlignment="1">
      <alignment horizontal="center"/>
    </xf>
    <xf numFmtId="168" fontId="6" fillId="4" borderId="5" xfId="0" applyNumberFormat="1" applyFont="1" applyFill="1" applyBorder="1"/>
    <xf numFmtId="0" fontId="4" fillId="4" borderId="5" xfId="0" applyFont="1" applyFill="1" applyBorder="1" applyAlignment="1">
      <alignment horizontal="center"/>
    </xf>
    <xf numFmtId="168" fontId="9" fillId="4" borderId="5" xfId="0" applyNumberFormat="1" applyFont="1" applyFill="1" applyBorder="1" applyAlignment="1">
      <alignment horizontal="left"/>
    </xf>
    <xf numFmtId="0" fontId="9" fillId="4" borderId="6" xfId="0" applyFont="1" applyFill="1" applyBorder="1"/>
    <xf numFmtId="171" fontId="9" fillId="4" borderId="5" xfId="0" applyNumberFormat="1" applyFont="1" applyFill="1" applyBorder="1" applyAlignment="1">
      <alignment horizontal="left"/>
    </xf>
    <xf numFmtId="49" fontId="4" fillId="4" borderId="5" xfId="0" applyNumberFormat="1" applyFont="1" applyFill="1" applyBorder="1"/>
    <xf numFmtId="169" fontId="4" fillId="4" borderId="12" xfId="0" applyNumberFormat="1" applyFont="1" applyFill="1" applyBorder="1" applyAlignment="1">
      <alignment horizontal="center"/>
    </xf>
    <xf numFmtId="172" fontId="4" fillId="6" borderId="1" xfId="0" applyNumberFormat="1" applyFont="1" applyFill="1" applyBorder="1" applyAlignment="1">
      <alignment horizontal="center"/>
    </xf>
    <xf numFmtId="49" fontId="6" fillId="4" borderId="9" xfId="0" applyNumberFormat="1" applyFont="1" applyFill="1" applyBorder="1" applyAlignment="1">
      <alignment horizontal="left"/>
    </xf>
    <xf numFmtId="0" fontId="5" fillId="0" borderId="4" xfId="0" applyFont="1" applyBorder="1"/>
    <xf numFmtId="49" fontId="4" fillId="4" borderId="2" xfId="0" applyNumberFormat="1" applyFont="1" applyFill="1" applyBorder="1" applyAlignment="1">
      <alignment horizontal="center"/>
    </xf>
    <xf numFmtId="0" fontId="5" fillId="0" borderId="3" xfId="0" applyFont="1" applyBorder="1"/>
    <xf numFmtId="0" fontId="1" fillId="0" borderId="0" xfId="0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7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showGridLines="0" workbookViewId="0">
      <selection activeCell="D10" sqref="D10"/>
    </sheetView>
  </sheetViews>
  <sheetFormatPr defaultColWidth="12.5703125" defaultRowHeight="15" customHeight="1" x14ac:dyDescent="0.2"/>
  <cols>
    <col min="1" max="1" width="2" customWidth="1"/>
    <col min="2" max="4" width="33.5703125" customWidth="1"/>
    <col min="5" max="26" width="10" customWidth="1"/>
  </cols>
  <sheetData>
    <row r="1" spans="2:4" ht="12.75" customHeight="1" x14ac:dyDescent="0.2"/>
    <row r="2" spans="2:4" ht="12.75" customHeight="1" x14ac:dyDescent="0.2"/>
    <row r="3" spans="2:4" ht="49.5" customHeight="1" x14ac:dyDescent="0.2">
      <c r="B3" s="82" t="s">
        <v>0</v>
      </c>
      <c r="C3" s="83"/>
      <c r="D3" s="83"/>
    </row>
    <row r="4" spans="2:4" ht="12.75" customHeight="1" x14ac:dyDescent="0.2"/>
    <row r="5" spans="2:4" ht="12.75" customHeight="1" x14ac:dyDescent="0.2"/>
    <row r="6" spans="2:4" ht="12.75" customHeight="1" x14ac:dyDescent="0.2"/>
    <row r="7" spans="2:4" ht="12.75" customHeight="1" x14ac:dyDescent="0.25">
      <c r="B7" s="1" t="s">
        <v>1</v>
      </c>
      <c r="C7" s="1" t="s">
        <v>2</v>
      </c>
      <c r="D7" s="1" t="s">
        <v>3</v>
      </c>
    </row>
    <row r="8" spans="2:4" ht="12.75" customHeight="1" x14ac:dyDescent="0.2"/>
    <row r="9" spans="2:4" ht="12.75" customHeight="1" x14ac:dyDescent="0.2">
      <c r="B9" s="2" t="s">
        <v>4</v>
      </c>
      <c r="C9" s="2"/>
      <c r="D9" s="2"/>
    </row>
    <row r="10" spans="2:4" ht="12.75" customHeight="1" x14ac:dyDescent="0.2">
      <c r="B10" s="3"/>
      <c r="C10" s="3" t="s">
        <v>5</v>
      </c>
      <c r="D10" s="4" t="s">
        <v>4</v>
      </c>
    </row>
    <row r="11" spans="2:4" ht="12.75" customHeight="1" x14ac:dyDescent="0.2">
      <c r="B11" s="2" t="s">
        <v>6</v>
      </c>
      <c r="C11" s="2"/>
      <c r="D11" s="2"/>
    </row>
    <row r="12" spans="2:4" ht="12.75" customHeight="1" x14ac:dyDescent="0.2">
      <c r="B12" s="3"/>
      <c r="C12" s="3" t="s">
        <v>5</v>
      </c>
      <c r="D12" s="4" t="s">
        <v>6</v>
      </c>
    </row>
    <row r="13" spans="2:4" ht="12.75" customHeight="1" x14ac:dyDescent="0.2">
      <c r="B13" s="2" t="s">
        <v>7</v>
      </c>
      <c r="C13" s="2"/>
      <c r="D13" s="2"/>
    </row>
    <row r="14" spans="2:4" ht="12.75" customHeight="1" x14ac:dyDescent="0.2">
      <c r="B14" s="3"/>
      <c r="C14" s="3" t="s">
        <v>5</v>
      </c>
      <c r="D14" s="4" t="s">
        <v>7</v>
      </c>
    </row>
    <row r="15" spans="2:4" ht="12.75" customHeight="1" x14ac:dyDescent="0.2">
      <c r="B15" s="2" t="s">
        <v>8</v>
      </c>
      <c r="C15" s="2"/>
      <c r="D15" s="2"/>
    </row>
    <row r="16" spans="2:4" ht="12.75" customHeight="1" x14ac:dyDescent="0.2">
      <c r="B16" s="3"/>
      <c r="C16" s="3" t="s">
        <v>5</v>
      </c>
      <c r="D16" s="4" t="s">
        <v>8</v>
      </c>
    </row>
    <row r="17" spans="2:4" ht="12.75" customHeight="1" x14ac:dyDescent="0.2">
      <c r="B17" s="2" t="s">
        <v>9</v>
      </c>
      <c r="C17" s="2"/>
      <c r="D17" s="2"/>
    </row>
    <row r="18" spans="2:4" ht="12.75" customHeight="1" x14ac:dyDescent="0.2">
      <c r="B18" s="3"/>
      <c r="C18" s="3" t="s">
        <v>5</v>
      </c>
      <c r="D18" s="4" t="s">
        <v>9</v>
      </c>
    </row>
    <row r="19" spans="2:4" ht="12.75" customHeight="1" x14ac:dyDescent="0.2">
      <c r="B19" s="2" t="s">
        <v>10</v>
      </c>
      <c r="C19" s="2"/>
      <c r="D19" s="2"/>
    </row>
    <row r="20" spans="2:4" ht="12.75" customHeight="1" x14ac:dyDescent="0.2">
      <c r="B20" s="3"/>
      <c r="C20" s="3" t="s">
        <v>5</v>
      </c>
      <c r="D20" s="4" t="s">
        <v>10</v>
      </c>
    </row>
    <row r="21" spans="2:4" ht="12.75" customHeight="1" x14ac:dyDescent="0.2">
      <c r="B21" s="2" t="s">
        <v>11</v>
      </c>
      <c r="C21" s="2"/>
      <c r="D21" s="2"/>
    </row>
    <row r="22" spans="2:4" ht="12.75" customHeight="1" x14ac:dyDescent="0.2">
      <c r="B22" s="3"/>
      <c r="C22" s="3" t="s">
        <v>5</v>
      </c>
      <c r="D22" s="4" t="s">
        <v>11</v>
      </c>
    </row>
    <row r="23" spans="2:4" ht="12.75" customHeight="1" x14ac:dyDescent="0.2"/>
    <row r="24" spans="2:4" ht="12.75" customHeight="1" x14ac:dyDescent="0.2"/>
    <row r="25" spans="2:4" ht="12.75" customHeight="1" x14ac:dyDescent="0.2"/>
    <row r="26" spans="2:4" ht="12.75" customHeight="1" x14ac:dyDescent="0.2"/>
    <row r="27" spans="2:4" ht="12.75" customHeight="1" x14ac:dyDescent="0.2"/>
    <row r="28" spans="2:4" ht="12.75" customHeight="1" x14ac:dyDescent="0.2"/>
    <row r="29" spans="2:4" ht="12.75" customHeight="1" x14ac:dyDescent="0.2"/>
    <row r="30" spans="2:4" ht="12.75" customHeight="1" x14ac:dyDescent="0.2"/>
    <row r="31" spans="2:4" ht="12.75" customHeight="1" x14ac:dyDescent="0.2"/>
    <row r="32" spans="2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B3:D3"/>
  </mergeCells>
  <hyperlinks>
    <hyperlink ref="D10" location="'Até 10 Kg SF'!R1C1" display="Até 10 Kg SF" xr:uid="{00000000-0004-0000-0000-000000000000}"/>
    <hyperlink ref="D12" location="'10 a 20 Kg'!R1C1" display="10 a 20 Kg" xr:uid="{00000000-0004-0000-0000-000001000000}"/>
    <hyperlink ref="D14" location="'Acima de 20 Kg'!R1C1" display="Acima de 20 Kg" xr:uid="{00000000-0004-0000-0000-000002000000}"/>
    <hyperlink ref="D16" location="'Até 10 Kg 10%'!R1C1" display="Até 10 Kg 10%" xr:uid="{00000000-0004-0000-0000-000003000000}"/>
    <hyperlink ref="D18" location="'Até 10 Kg 20%'!R1C1" display="Até 10 Kg 20%" xr:uid="{00000000-0004-0000-0000-000004000000}"/>
    <hyperlink ref="D20" location="'10 a 20 Kg parcial'!R1C1" display="10 a 20 Kg parcial" xr:uid="{00000000-0004-0000-0000-000005000000}"/>
    <hyperlink ref="D22" location="'Acima de 20 Kg parcial'!R1C1" display="Acima de 20 Kg parcial" xr:uid="{00000000-0004-0000-0000-000006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B14" sqref="B14"/>
    </sheetView>
  </sheetViews>
  <sheetFormatPr defaultColWidth="12.5703125" defaultRowHeight="15" customHeight="1" x14ac:dyDescent="0.2"/>
  <cols>
    <col min="1" max="1" width="14" customWidth="1"/>
    <col min="2" max="2" width="6.85546875" customWidth="1"/>
    <col min="3" max="4" width="7" customWidth="1"/>
    <col min="5" max="5" width="6.85546875" customWidth="1"/>
    <col min="6" max="6" width="5.140625" customWidth="1"/>
    <col min="7" max="7" width="6.85546875" customWidth="1"/>
    <col min="8" max="26" width="8.85546875" customWidth="1"/>
  </cols>
  <sheetData>
    <row r="1" spans="1:26" ht="12.75" customHeight="1" x14ac:dyDescent="0.2">
      <c r="A1" s="80" t="s">
        <v>12</v>
      </c>
      <c r="B1" s="81"/>
      <c r="C1" s="79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5"/>
      <c r="E2" s="7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9">
        <f>SUM(B19/5)-B5</f>
        <v>5038.0910263497326</v>
      </c>
      <c r="C3" s="10" t="s">
        <v>14</v>
      </c>
      <c r="D3" s="11" t="s">
        <v>15</v>
      </c>
      <c r="E3" s="12">
        <v>120</v>
      </c>
      <c r="F3" s="78" t="s">
        <v>16</v>
      </c>
      <c r="G3" s="7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14"/>
      <c r="C4" s="15"/>
      <c r="D4" s="16"/>
      <c r="E4" s="12"/>
      <c r="F4" s="17"/>
      <c r="G4" s="1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9">
        <f>SUM(B21-B19)/45</f>
        <v>72.190897365026714</v>
      </c>
      <c r="C5" s="10" t="s">
        <v>14</v>
      </c>
      <c r="D5" s="11" t="s">
        <v>18</v>
      </c>
      <c r="E5" s="12">
        <v>4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14"/>
      <c r="C6" s="15"/>
      <c r="D6" s="16"/>
      <c r="E6" s="12"/>
      <c r="F6" s="17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20</v>
      </c>
      <c r="B7" s="9">
        <f>SUM(B13*E7)/0.15</f>
        <v>666.66666666666674</v>
      </c>
      <c r="C7" s="10" t="s">
        <v>14</v>
      </c>
      <c r="D7" s="11" t="s">
        <v>21</v>
      </c>
      <c r="E7" s="12">
        <v>2</v>
      </c>
      <c r="F7" s="78" t="s">
        <v>22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14"/>
      <c r="C8" s="15"/>
      <c r="D8" s="16"/>
      <c r="E8" s="12"/>
      <c r="F8" s="17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9">
        <f>SUM(B13*E9)/1.34</f>
        <v>111.94029850746269</v>
      </c>
      <c r="C9" s="10" t="s">
        <v>14</v>
      </c>
      <c r="D9" s="11" t="s">
        <v>24</v>
      </c>
      <c r="E9" s="12">
        <v>3</v>
      </c>
      <c r="F9" s="78" t="s">
        <v>22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14"/>
      <c r="C10" s="15"/>
      <c r="D10" s="16"/>
      <c r="E10" s="12"/>
      <c r="F10" s="17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9">
        <f>SUM(B13*E11)/9</f>
        <v>111.11111111111111</v>
      </c>
      <c r="C11" s="10" t="s">
        <v>14</v>
      </c>
      <c r="D11" s="11" t="s">
        <v>26</v>
      </c>
      <c r="E11" s="12">
        <v>20</v>
      </c>
      <c r="F11" s="78" t="s">
        <v>27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20"/>
      <c r="C12" s="21"/>
      <c r="D12" s="22"/>
      <c r="E12" s="23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25">
        <v>50</v>
      </c>
      <c r="C13" s="26" t="s">
        <v>29</v>
      </c>
      <c r="D13" s="27" t="s">
        <v>30</v>
      </c>
      <c r="E13" s="28">
        <f>SUM(E19*100)/E15</f>
        <v>4.7999999999999989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SUM(E3*B13)-B17</f>
        <v>5110.2819237147596</v>
      </c>
      <c r="C15" s="36"/>
      <c r="D15" s="37" t="s">
        <v>33</v>
      </c>
      <c r="E15" s="38">
        <f>SUM(B3,B5,B7,B9,B11)</f>
        <v>6000.0000000000009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39"/>
      <c r="B16" s="40"/>
      <c r="C16" s="41"/>
      <c r="D16" s="42"/>
      <c r="E16" s="43"/>
      <c r="F16" s="44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889.7180762852405</v>
      </c>
      <c r="C17" s="36"/>
      <c r="D17" s="37" t="s">
        <v>35</v>
      </c>
      <c r="E17" s="38">
        <f>SUM(E15/24)</f>
        <v>250.00000000000003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47"/>
      <c r="B18" s="40"/>
      <c r="C18" s="41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SUM(B15*5)</f>
        <v>25551.409618573798</v>
      </c>
      <c r="C19" s="41"/>
      <c r="D19" s="45" t="s">
        <v>38</v>
      </c>
      <c r="E19" s="40">
        <f>SUM(B3*0.05)+(B5/2)</f>
        <v>288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47"/>
      <c r="B20" s="40"/>
      <c r="C20" s="41"/>
      <c r="D20" s="41"/>
      <c r="E20" s="41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28800</v>
      </c>
      <c r="C21" s="41"/>
      <c r="D21" s="41"/>
      <c r="E21" s="41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48"/>
      <c r="B22" s="48"/>
      <c r="C22" s="41"/>
      <c r="D22" s="41"/>
      <c r="E22" s="41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30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2519.0455131748663</v>
      </c>
      <c r="C25" s="30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0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36.095448682513357</v>
      </c>
      <c r="C27" s="30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0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20</v>
      </c>
      <c r="B29" s="38">
        <f>SUM(B7/2)</f>
        <v>333.33333333333337</v>
      </c>
      <c r="C29" s="30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0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55.970149253731343</v>
      </c>
      <c r="C31" s="30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0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55.555555555555557</v>
      </c>
      <c r="C33" s="30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3"/>
      <c r="B34" s="51"/>
      <c r="C34" s="30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8" t="s">
        <v>43</v>
      </c>
      <c r="B35" s="38">
        <f>SUM(B25,B27,B29,B31,B33)</f>
        <v>3000.0000000000005</v>
      </c>
      <c r="C35" s="30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21"/>
      <c r="B36" s="52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6000.0000000000009</v>
      </c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F11:G11"/>
    <mergeCell ref="A1:C1"/>
    <mergeCell ref="F3:G3"/>
    <mergeCell ref="F5:G5"/>
    <mergeCell ref="F7:G7"/>
    <mergeCell ref="F9:G9"/>
  </mergeCells>
  <conditionalFormatting sqref="B3:B11 E3:E12 B13 B15:C15 A16:C22 D19:E22">
    <cfRule type="cellIs" dxfId="6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portrait"/>
  <headerFooter>
    <oddFooter>&amp;C000000&amp;P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4.42578125" customWidth="1"/>
    <col min="2" max="7" width="10" customWidth="1"/>
    <col min="8" max="26" width="8.85546875" customWidth="1"/>
  </cols>
  <sheetData>
    <row r="1" spans="1:26" ht="12.75" customHeight="1" x14ac:dyDescent="0.2">
      <c r="A1" s="80" t="s">
        <v>44</v>
      </c>
      <c r="B1" s="81"/>
      <c r="C1" s="79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7"/>
      <c r="E2" s="7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38">
        <f>SUM(E3-E21)</f>
        <v>920.43906393956149</v>
      </c>
      <c r="C3" s="10" t="s">
        <v>14</v>
      </c>
      <c r="D3" s="37" t="s">
        <v>15</v>
      </c>
      <c r="E3" s="38">
        <f>SUM(B13-10)*50+1000</f>
        <v>1300</v>
      </c>
      <c r="F3" s="54" t="s">
        <v>45</v>
      </c>
      <c r="G3" s="1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38"/>
      <c r="C4" s="15"/>
      <c r="D4" s="55"/>
      <c r="E4" s="32"/>
      <c r="F4" s="21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38">
        <f>SUM(B19/45)</f>
        <v>46.196093606043846</v>
      </c>
      <c r="C5" s="10" t="s">
        <v>14</v>
      </c>
      <c r="D5" s="11" t="s">
        <v>18</v>
      </c>
      <c r="E5" s="56">
        <v>3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38"/>
      <c r="C6" s="15"/>
      <c r="D6" s="16"/>
      <c r="E6" s="56"/>
      <c r="F6" s="17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20</v>
      </c>
      <c r="B7" s="38">
        <f>SUM(E3/100)*E7/0.15</f>
        <v>303.33333333333337</v>
      </c>
      <c r="C7" s="10" t="s">
        <v>14</v>
      </c>
      <c r="D7" s="11" t="s">
        <v>21</v>
      </c>
      <c r="E7" s="56">
        <v>3.5</v>
      </c>
      <c r="F7" s="78" t="s">
        <v>46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38"/>
      <c r="C8" s="15"/>
      <c r="D8" s="16"/>
      <c r="E8" s="56"/>
      <c r="F8" s="17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38">
        <f>SUM(E3/100)*E9/1.34</f>
        <v>24.253731343283579</v>
      </c>
      <c r="C9" s="10" t="s">
        <v>14</v>
      </c>
      <c r="D9" s="11" t="s">
        <v>24</v>
      </c>
      <c r="E9" s="56">
        <v>2.5</v>
      </c>
      <c r="F9" s="78" t="s">
        <v>46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38"/>
      <c r="C10" s="15"/>
      <c r="D10" s="16"/>
      <c r="E10" s="56"/>
      <c r="F10" s="17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38">
        <f>SUM(E3/100)*E11/9</f>
        <v>5.7777777777777777</v>
      </c>
      <c r="C11" s="10" t="s">
        <v>14</v>
      </c>
      <c r="D11" s="11" t="s">
        <v>26</v>
      </c>
      <c r="E11" s="56">
        <v>4</v>
      </c>
      <c r="F11" s="78" t="s">
        <v>47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57"/>
      <c r="C12" s="21"/>
      <c r="D12" s="22"/>
      <c r="E12" s="32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25">
        <v>16</v>
      </c>
      <c r="C13" s="26" t="s">
        <v>29</v>
      </c>
      <c r="D13" s="27" t="s">
        <v>30</v>
      </c>
      <c r="E13" s="28">
        <f>SUM(E19*100)/E15</f>
        <v>5.3169230769230769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SUM(E3-B17)*5</f>
        <v>4833.175787728027</v>
      </c>
      <c r="C15" s="58"/>
      <c r="D15" s="37" t="s">
        <v>33</v>
      </c>
      <c r="E15" s="38">
        <f>SUM(B3,B5,B7,B9,B11)</f>
        <v>1300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59"/>
      <c r="B16" s="60"/>
      <c r="C16" s="58"/>
      <c r="D16" s="61"/>
      <c r="E16" s="38"/>
      <c r="F16" s="15"/>
      <c r="G16" s="3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333.3648424543947</v>
      </c>
      <c r="C17" s="58"/>
      <c r="D17" s="37" t="s">
        <v>35</v>
      </c>
      <c r="E17" s="38">
        <f>SUM(E15/24)</f>
        <v>54.166666666666664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62"/>
      <c r="B18" s="60"/>
      <c r="C18" s="5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SUM(B21-B15)</f>
        <v>2078.824212271973</v>
      </c>
      <c r="C19" s="5"/>
      <c r="D19" s="45" t="s">
        <v>38</v>
      </c>
      <c r="E19" s="60">
        <f>SUM(B3*0.05)+(B5/2)</f>
        <v>69.12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62"/>
      <c r="B20" s="60"/>
      <c r="C20" s="5"/>
      <c r="D20" s="62"/>
      <c r="E20" s="60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6912</v>
      </c>
      <c r="C21" s="5"/>
      <c r="D21" s="45" t="s">
        <v>48</v>
      </c>
      <c r="E21" s="63">
        <f>SUM(B5+B7+B9+B11)</f>
        <v>379.56093606043856</v>
      </c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7"/>
      <c r="B22" s="7"/>
      <c r="C22" s="7"/>
      <c r="D22" s="7"/>
      <c r="E22" s="7"/>
      <c r="F22" s="7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50">
        <v>3</v>
      </c>
      <c r="D23" s="50">
        <v>4</v>
      </c>
      <c r="E23" s="50">
        <v>6</v>
      </c>
      <c r="F23" s="50">
        <v>8</v>
      </c>
      <c r="G23" s="6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31"/>
      <c r="D24" s="31"/>
      <c r="E24" s="31"/>
      <c r="F24" s="31"/>
      <c r="G24" s="6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460.21953196978075</v>
      </c>
      <c r="C25" s="38">
        <f>SUM(B3/3)</f>
        <v>306.81302131318716</v>
      </c>
      <c r="D25" s="38">
        <f>SUM(B3/4)</f>
        <v>230.10976598489037</v>
      </c>
      <c r="E25" s="38">
        <f>SUM(B3/6)</f>
        <v>153.40651065659358</v>
      </c>
      <c r="F25" s="38">
        <f>SUM(B3/8)</f>
        <v>115.05488299244519</v>
      </c>
      <c r="G25" s="6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8"/>
      <c r="D26" s="38"/>
      <c r="E26" s="38"/>
      <c r="F26" s="38"/>
      <c r="G26" s="6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23.098046803021923</v>
      </c>
      <c r="C27" s="38">
        <f>SUM(B5/3)</f>
        <v>15.398697868681282</v>
      </c>
      <c r="D27" s="38">
        <f>SUM(B5/4)</f>
        <v>11.549023401510961</v>
      </c>
      <c r="E27" s="38">
        <f>SUM(B5/6)</f>
        <v>7.6993489343406409</v>
      </c>
      <c r="F27" s="38">
        <f>SUM(B5/8)</f>
        <v>5.7745117007554807</v>
      </c>
      <c r="G27" s="6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8"/>
      <c r="D28" s="38"/>
      <c r="E28" s="38"/>
      <c r="F28" s="38"/>
      <c r="G28" s="6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20</v>
      </c>
      <c r="B29" s="38">
        <f>SUM(B7/2)</f>
        <v>151.66666666666669</v>
      </c>
      <c r="C29" s="38">
        <f>SUM(B7/3)</f>
        <v>101.11111111111113</v>
      </c>
      <c r="D29" s="38">
        <f>SUM(B7/4)</f>
        <v>75.833333333333343</v>
      </c>
      <c r="E29" s="38">
        <f>SUM(B7/6)</f>
        <v>50.555555555555564</v>
      </c>
      <c r="F29" s="38">
        <f>SUM(B7/8)</f>
        <v>37.916666666666671</v>
      </c>
      <c r="G29" s="6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8"/>
      <c r="D30" s="38"/>
      <c r="E30" s="38"/>
      <c r="F30" s="38"/>
      <c r="G30" s="6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12.12686567164179</v>
      </c>
      <c r="C31" s="38">
        <f>SUM(B9/3)</f>
        <v>8.0845771144278604</v>
      </c>
      <c r="D31" s="38">
        <f>SUM(B9/4)</f>
        <v>6.0634328358208949</v>
      </c>
      <c r="E31" s="38">
        <f>SUM(B9/6)</f>
        <v>4.0422885572139302</v>
      </c>
      <c r="F31" s="38">
        <f>SUM(B9/8)</f>
        <v>3.0317164179104474</v>
      </c>
      <c r="G31" s="6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8"/>
      <c r="D32" s="38"/>
      <c r="E32" s="38"/>
      <c r="F32" s="38"/>
      <c r="G32" s="6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2.8888888888888888</v>
      </c>
      <c r="C33" s="38">
        <f>SUM(B11/3)</f>
        <v>1.9259259259259258</v>
      </c>
      <c r="D33" s="38">
        <f>SUM(B11/4)</f>
        <v>1.4444444444444444</v>
      </c>
      <c r="E33" s="38">
        <f>SUM(B11/6)</f>
        <v>0.96296296296296291</v>
      </c>
      <c r="F33" s="38">
        <f>SUM(B11/8)</f>
        <v>0.72222222222222221</v>
      </c>
      <c r="G33" s="6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9"/>
      <c r="B34" s="52"/>
      <c r="C34" s="52"/>
      <c r="D34" s="52"/>
      <c r="E34" s="52"/>
      <c r="F34" s="52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67" t="s">
        <v>43</v>
      </c>
      <c r="B35" s="68">
        <f t="shared" ref="B35:F35" si="0">SUM(B25,B27,B29,B31,B33)</f>
        <v>650</v>
      </c>
      <c r="C35" s="68">
        <f t="shared" si="0"/>
        <v>433.33333333333337</v>
      </c>
      <c r="D35" s="68">
        <f t="shared" si="0"/>
        <v>325</v>
      </c>
      <c r="E35" s="68">
        <f t="shared" si="0"/>
        <v>216.66666666666669</v>
      </c>
      <c r="F35" s="68">
        <f t="shared" si="0"/>
        <v>162.5</v>
      </c>
      <c r="G35" s="6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5"/>
      <c r="B36" s="70"/>
      <c r="C36" s="70"/>
      <c r="D36" s="70"/>
      <c r="E36" s="70"/>
      <c r="F36" s="70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1300</v>
      </c>
      <c r="C37" s="53">
        <f>SUM(C35*3)</f>
        <v>1300</v>
      </c>
      <c r="D37" s="53">
        <f>SUM(D35*4)</f>
        <v>1300</v>
      </c>
      <c r="E37" s="53">
        <f>SUM(E35*6)</f>
        <v>1300</v>
      </c>
      <c r="F37" s="53">
        <f>SUM(F35*8)</f>
        <v>1300</v>
      </c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1:C1"/>
    <mergeCell ref="F5:G5"/>
    <mergeCell ref="F7:G7"/>
    <mergeCell ref="F9:G9"/>
    <mergeCell ref="F11:G11"/>
  </mergeCells>
  <conditionalFormatting sqref="B13 B15 B17 B19 B21 G25:G33 G35">
    <cfRule type="cellIs" dxfId="5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portrait"/>
  <headerFooter>
    <oddFooter>&amp;C000000&amp;P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4" customWidth="1"/>
    <col min="2" max="7" width="10" customWidth="1"/>
    <col min="8" max="26" width="8.85546875" customWidth="1"/>
  </cols>
  <sheetData>
    <row r="1" spans="1:26" ht="12.75" customHeight="1" x14ac:dyDescent="0.2">
      <c r="A1" s="80" t="s">
        <v>49</v>
      </c>
      <c r="B1" s="81"/>
      <c r="C1" s="79"/>
      <c r="D1" s="71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7"/>
      <c r="E2" s="7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38">
        <f>SUM(E3-E21)</f>
        <v>1220.1051630735215</v>
      </c>
      <c r="C3" s="10" t="s">
        <v>14</v>
      </c>
      <c r="D3" s="37" t="s">
        <v>15</v>
      </c>
      <c r="E3" s="38">
        <f>SUM(B13-20)*20+1500</f>
        <v>1840</v>
      </c>
      <c r="F3" s="54" t="s">
        <v>45</v>
      </c>
      <c r="G3" s="1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38"/>
      <c r="C4" s="15"/>
      <c r="D4" s="55"/>
      <c r="E4" s="32"/>
      <c r="F4" s="21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38">
        <f>SUM(B19/45)</f>
        <v>101.7654836926479</v>
      </c>
      <c r="C5" s="10" t="s">
        <v>14</v>
      </c>
      <c r="D5" s="11" t="s">
        <v>18</v>
      </c>
      <c r="E5" s="56">
        <v>2.1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38"/>
      <c r="C6" s="15"/>
      <c r="D6" s="16"/>
      <c r="E6" s="56"/>
      <c r="F6" s="17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20</v>
      </c>
      <c r="B7" s="38">
        <f>SUM(E3/100)*E7/0.15</f>
        <v>490.66666666666663</v>
      </c>
      <c r="C7" s="10" t="s">
        <v>14</v>
      </c>
      <c r="D7" s="11" t="s">
        <v>21</v>
      </c>
      <c r="E7" s="56">
        <v>4</v>
      </c>
      <c r="F7" s="78" t="s">
        <v>46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38"/>
      <c r="C8" s="15"/>
      <c r="D8" s="16"/>
      <c r="E8" s="56"/>
      <c r="F8" s="17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38">
        <f>SUM(E3/100)*E9/1.34</f>
        <v>27.462686567164177</v>
      </c>
      <c r="C9" s="10" t="s">
        <v>14</v>
      </c>
      <c r="D9" s="11" t="s">
        <v>24</v>
      </c>
      <c r="E9" s="56">
        <v>2</v>
      </c>
      <c r="F9" s="78" t="s">
        <v>46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38"/>
      <c r="C10" s="15"/>
      <c r="D10" s="16"/>
      <c r="E10" s="56"/>
      <c r="F10" s="17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38">
        <f>SUM(E3/100)*E11/9</f>
        <v>0</v>
      </c>
      <c r="C11" s="10" t="s">
        <v>14</v>
      </c>
      <c r="D11" s="11" t="s">
        <v>26</v>
      </c>
      <c r="E11" s="56">
        <v>0</v>
      </c>
      <c r="F11" s="78" t="s">
        <v>47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57"/>
      <c r="C12" s="21"/>
      <c r="D12" s="22"/>
      <c r="E12" s="32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25">
        <v>37</v>
      </c>
      <c r="C13" s="26" t="s">
        <v>29</v>
      </c>
      <c r="D13" s="27" t="s">
        <v>30</v>
      </c>
      <c r="E13" s="28">
        <f>SUM(E19*100)/E15</f>
        <v>6.0808695652173919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SUM(E3-B17)*5</f>
        <v>6609.3532338308451</v>
      </c>
      <c r="C15" s="58"/>
      <c r="D15" s="37" t="s">
        <v>33</v>
      </c>
      <c r="E15" s="38">
        <f>SUM(B3,B5,B7,B9,B11)</f>
        <v>1840.0000000000002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59"/>
      <c r="B16" s="60"/>
      <c r="C16" s="58"/>
      <c r="D16" s="61"/>
      <c r="E16" s="51"/>
      <c r="F16" s="15"/>
      <c r="G16" s="3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518.12935323383078</v>
      </c>
      <c r="C17" s="58"/>
      <c r="D17" s="37" t="s">
        <v>35</v>
      </c>
      <c r="E17" s="38">
        <f>SUM(E15/24)</f>
        <v>76.666666666666671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62"/>
      <c r="B18" s="60"/>
      <c r="C18" s="5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SUM(B21-B15)</f>
        <v>4579.446766169156</v>
      </c>
      <c r="C19" s="5"/>
      <c r="D19" s="45" t="s">
        <v>38</v>
      </c>
      <c r="E19" s="60">
        <f>SUM(B3*0.05)+(B5/2)</f>
        <v>111.88800000000003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62"/>
      <c r="B20" s="60"/>
      <c r="C20" s="5"/>
      <c r="D20" s="62"/>
      <c r="E20" s="60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11188.800000000001</v>
      </c>
      <c r="C21" s="5"/>
      <c r="D21" s="45" t="s">
        <v>48</v>
      </c>
      <c r="E21" s="72">
        <f>SUM(B5+B7+B9+B11)</f>
        <v>619.89483692647866</v>
      </c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73"/>
      <c r="B22" s="73"/>
      <c r="C22" s="7"/>
      <c r="D22" s="7"/>
      <c r="E22" s="7"/>
      <c r="F22" s="7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50">
        <v>3</v>
      </c>
      <c r="D23" s="50">
        <v>4</v>
      </c>
      <c r="E23" s="50">
        <v>6</v>
      </c>
      <c r="F23" s="50">
        <v>8</v>
      </c>
      <c r="G23" s="3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31"/>
      <c r="D24" s="31"/>
      <c r="E24" s="31"/>
      <c r="F24" s="31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610.05258153676073</v>
      </c>
      <c r="C25" s="38">
        <f>SUM(B3/3)</f>
        <v>406.70172102450715</v>
      </c>
      <c r="D25" s="38">
        <f>SUM(B3/4)</f>
        <v>305.02629076838036</v>
      </c>
      <c r="E25" s="38">
        <f>SUM(B3/6)</f>
        <v>203.35086051225358</v>
      </c>
      <c r="F25" s="38">
        <f>SUM(B3/8)</f>
        <v>152.51314538419018</v>
      </c>
      <c r="G25" s="3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8"/>
      <c r="D26" s="38"/>
      <c r="E26" s="38"/>
      <c r="F26" s="38"/>
      <c r="G26" s="3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50.882741846323952</v>
      </c>
      <c r="C27" s="38">
        <f>SUM(B5/3)</f>
        <v>33.921827897549299</v>
      </c>
      <c r="D27" s="38">
        <f>SUM(B5/4)</f>
        <v>25.441370923161976</v>
      </c>
      <c r="E27" s="38">
        <f>SUM(B5/6)</f>
        <v>16.96091394877465</v>
      </c>
      <c r="F27" s="38">
        <f>SUM(B5/8)</f>
        <v>12.720685461580988</v>
      </c>
      <c r="G27" s="3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8"/>
      <c r="D28" s="38"/>
      <c r="E28" s="38"/>
      <c r="F28" s="38"/>
      <c r="G28" s="3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20</v>
      </c>
      <c r="B29" s="38">
        <f>SUM(B7/2)</f>
        <v>245.33333333333331</v>
      </c>
      <c r="C29" s="38">
        <f>SUM(B7/3)</f>
        <v>163.55555555555554</v>
      </c>
      <c r="D29" s="38">
        <f>SUM(B7/4)</f>
        <v>122.66666666666666</v>
      </c>
      <c r="E29" s="38">
        <f>SUM(B7/6)</f>
        <v>81.777777777777771</v>
      </c>
      <c r="F29" s="38">
        <f>SUM(B7/8)</f>
        <v>61.333333333333329</v>
      </c>
      <c r="G29" s="3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8"/>
      <c r="D30" s="38"/>
      <c r="E30" s="38"/>
      <c r="F30" s="38"/>
      <c r="G30" s="3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13.731343283582088</v>
      </c>
      <c r="C31" s="38">
        <f>SUM(B9/3)</f>
        <v>9.1542288557213922</v>
      </c>
      <c r="D31" s="38">
        <f>SUM(B9/4)</f>
        <v>6.8656716417910442</v>
      </c>
      <c r="E31" s="38">
        <f>SUM(B9/6)</f>
        <v>4.5771144278606961</v>
      </c>
      <c r="F31" s="38">
        <f>SUM(B9/8)</f>
        <v>3.4328358208955221</v>
      </c>
      <c r="G31" s="3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8"/>
      <c r="D32" s="38"/>
      <c r="E32" s="38"/>
      <c r="F32" s="38"/>
      <c r="G32" s="3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0</v>
      </c>
      <c r="C33" s="38">
        <f>SUM(B11/3)</f>
        <v>0</v>
      </c>
      <c r="D33" s="38">
        <f>SUM(B11/4)</f>
        <v>0</v>
      </c>
      <c r="E33" s="38">
        <f>SUM(B11/6)</f>
        <v>0</v>
      </c>
      <c r="F33" s="38">
        <f>SUM(B11/8)</f>
        <v>0</v>
      </c>
      <c r="G33" s="3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3"/>
      <c r="B34" s="51"/>
      <c r="C34" s="51"/>
      <c r="D34" s="51"/>
      <c r="E34" s="51"/>
      <c r="F34" s="51"/>
      <c r="G34" s="3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8" t="s">
        <v>43</v>
      </c>
      <c r="B35" s="38">
        <f t="shared" ref="B35:F35" si="0">SUM(B25,B27,B29,B31,B33)</f>
        <v>920.00000000000011</v>
      </c>
      <c r="C35" s="38">
        <f t="shared" si="0"/>
        <v>613.33333333333337</v>
      </c>
      <c r="D35" s="38">
        <f t="shared" si="0"/>
        <v>460.00000000000006</v>
      </c>
      <c r="E35" s="38">
        <f t="shared" si="0"/>
        <v>306.66666666666669</v>
      </c>
      <c r="F35" s="38">
        <f t="shared" si="0"/>
        <v>230.00000000000003</v>
      </c>
      <c r="G35" s="3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21"/>
      <c r="B36" s="52"/>
      <c r="C36" s="52"/>
      <c r="D36" s="52"/>
      <c r="E36" s="52"/>
      <c r="F36" s="52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1840.0000000000002</v>
      </c>
      <c r="C37" s="53">
        <f>SUM(C35*3)</f>
        <v>1840</v>
      </c>
      <c r="D37" s="53">
        <f>SUM(D35*4)</f>
        <v>1840.0000000000002</v>
      </c>
      <c r="E37" s="53">
        <f>SUM(E35*6)</f>
        <v>1840</v>
      </c>
      <c r="F37" s="53">
        <f>SUM(F35*8)</f>
        <v>1840.0000000000002</v>
      </c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1:C1"/>
    <mergeCell ref="F5:G5"/>
    <mergeCell ref="F7:G7"/>
    <mergeCell ref="F9:G9"/>
    <mergeCell ref="F11:G11"/>
  </mergeCells>
  <conditionalFormatting sqref="B13 B15 B17 B19 B21">
    <cfRule type="cellIs" dxfId="4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landscape"/>
  <headerFooter>
    <oddFooter>&amp;C000000&amp;P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4" customWidth="1"/>
    <col min="2" max="2" width="8" customWidth="1"/>
    <col min="3" max="4" width="10" customWidth="1"/>
    <col min="5" max="5" width="7.140625" customWidth="1"/>
    <col min="6" max="6" width="5.140625" customWidth="1"/>
    <col min="7" max="7" width="10" customWidth="1"/>
    <col min="8" max="26" width="8.85546875" customWidth="1"/>
  </cols>
  <sheetData>
    <row r="1" spans="1:26" ht="12.75" customHeight="1" x14ac:dyDescent="0.2">
      <c r="A1" s="80" t="s">
        <v>12</v>
      </c>
      <c r="B1" s="81"/>
      <c r="C1" s="79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5"/>
      <c r="E2" s="7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38">
        <f>SUM(B19/5)-B5</f>
        <v>412.60476701460016</v>
      </c>
      <c r="C3" s="10" t="s">
        <v>14</v>
      </c>
      <c r="D3" s="11" t="s">
        <v>15</v>
      </c>
      <c r="E3" s="56">
        <v>100</v>
      </c>
      <c r="F3" s="78" t="s">
        <v>16</v>
      </c>
      <c r="G3" s="7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38"/>
      <c r="C4" s="15"/>
      <c r="D4" s="16"/>
      <c r="E4" s="56"/>
      <c r="F4" s="30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38">
        <f>SUM(B21-B19)/45</f>
        <v>26.419523298539985</v>
      </c>
      <c r="C5" s="10" t="s">
        <v>14</v>
      </c>
      <c r="D5" s="11" t="s">
        <v>18</v>
      </c>
      <c r="E5" s="56">
        <v>5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38"/>
      <c r="C6" s="15"/>
      <c r="D6" s="16"/>
      <c r="E6" s="56"/>
      <c r="F6" s="30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50</v>
      </c>
      <c r="B7" s="38">
        <f>SUM(B13*E7)/1.7</f>
        <v>8.2941176470588243</v>
      </c>
      <c r="C7" s="10" t="s">
        <v>14</v>
      </c>
      <c r="D7" s="11" t="s">
        <v>21</v>
      </c>
      <c r="E7" s="56">
        <v>3</v>
      </c>
      <c r="F7" s="78" t="s">
        <v>22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38"/>
      <c r="C8" s="15"/>
      <c r="D8" s="16"/>
      <c r="E8" s="56"/>
      <c r="F8" s="30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38">
        <f>SUM(B13*E9)/1.34</f>
        <v>7.0149253731343286</v>
      </c>
      <c r="C9" s="10" t="s">
        <v>14</v>
      </c>
      <c r="D9" s="11" t="s">
        <v>24</v>
      </c>
      <c r="E9" s="56">
        <v>2</v>
      </c>
      <c r="F9" s="78" t="s">
        <v>22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38"/>
      <c r="C10" s="15"/>
      <c r="D10" s="16"/>
      <c r="E10" s="56"/>
      <c r="F10" s="30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38">
        <f>SUM(B13*E11)/9</f>
        <v>15.666666666666666</v>
      </c>
      <c r="C11" s="10" t="s">
        <v>14</v>
      </c>
      <c r="D11" s="11" t="s">
        <v>26</v>
      </c>
      <c r="E11" s="56">
        <v>30</v>
      </c>
      <c r="F11" s="78" t="s">
        <v>27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57"/>
      <c r="C12" s="21"/>
      <c r="D12" s="22"/>
      <c r="E12" s="32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25">
        <v>4.7</v>
      </c>
      <c r="C13" s="26" t="s">
        <v>29</v>
      </c>
      <c r="D13" s="27" t="s">
        <v>30</v>
      </c>
      <c r="E13" s="28">
        <f>SUM(E19*100)/E15</f>
        <v>7.200000000000002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SUM(E3*B13)-B17</f>
        <v>439.02429031314017</v>
      </c>
      <c r="C15" s="36"/>
      <c r="D15" s="37" t="s">
        <v>33</v>
      </c>
      <c r="E15" s="38">
        <f>SUM(B3,B5,B7,B9,B11)</f>
        <v>469.99999999999994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39"/>
      <c r="B16" s="40"/>
      <c r="C16" s="36"/>
      <c r="D16" s="61"/>
      <c r="E16" s="38"/>
      <c r="F16" s="15"/>
      <c r="G16" s="3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30.975709686859819</v>
      </c>
      <c r="C17" s="36"/>
      <c r="D17" s="37" t="s">
        <v>35</v>
      </c>
      <c r="E17" s="38">
        <f>SUM(E15/24)</f>
        <v>19.583333333333332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47"/>
      <c r="B18" s="40"/>
      <c r="C18" s="41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SUM(B15*5)</f>
        <v>2195.1214515657007</v>
      </c>
      <c r="C19" s="41"/>
      <c r="D19" s="45" t="s">
        <v>38</v>
      </c>
      <c r="E19" s="74">
        <f>SUM(B3*0.05)+(B5/2)</f>
        <v>33.840000000000003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47"/>
      <c r="B20" s="40"/>
      <c r="C20" s="41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3384</v>
      </c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7"/>
      <c r="B22" s="7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30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206.30238350730008</v>
      </c>
      <c r="C25" s="30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0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13.209761649269993</v>
      </c>
      <c r="C27" s="30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0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50</v>
      </c>
      <c r="B29" s="38">
        <f>SUM(B7/2)</f>
        <v>4.1470588235294121</v>
      </c>
      <c r="C29" s="30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0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3.5074626865671643</v>
      </c>
      <c r="C31" s="30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0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7.833333333333333</v>
      </c>
      <c r="C33" s="30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3"/>
      <c r="B34" s="51"/>
      <c r="C34" s="30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8" t="s">
        <v>43</v>
      </c>
      <c r="B35" s="38">
        <f>SUM(B25,B27,B29,B31,B33)</f>
        <v>234.99999999999997</v>
      </c>
      <c r="C35" s="30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21"/>
      <c r="B36" s="52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469.99999999999994</v>
      </c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F11:G11"/>
    <mergeCell ref="A1:C1"/>
    <mergeCell ref="F3:G3"/>
    <mergeCell ref="F5:G5"/>
    <mergeCell ref="F7:G7"/>
    <mergeCell ref="F9:G9"/>
  </mergeCells>
  <conditionalFormatting sqref="B13 B15:C15 A16:C20 D19:E19 B21">
    <cfRule type="cellIs" dxfId="3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landscape"/>
  <headerFooter>
    <oddFooter>&amp;C000000&amp;P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4" customWidth="1"/>
    <col min="2" max="2" width="6.85546875" customWidth="1"/>
    <col min="3" max="3" width="3.85546875" customWidth="1"/>
    <col min="4" max="4" width="7.5703125" customWidth="1"/>
    <col min="5" max="5" width="6.85546875" customWidth="1"/>
    <col min="6" max="6" width="5.42578125" customWidth="1"/>
    <col min="7" max="7" width="7.140625" customWidth="1"/>
    <col min="8" max="26" width="8.85546875" customWidth="1"/>
  </cols>
  <sheetData>
    <row r="1" spans="1:26" ht="12.75" customHeight="1" x14ac:dyDescent="0.2">
      <c r="A1" s="75" t="s">
        <v>12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5"/>
      <c r="E2" s="7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38">
        <f>SUM(B19/5)-B5</f>
        <v>467.0294930575879</v>
      </c>
      <c r="C3" s="10" t="s">
        <v>14</v>
      </c>
      <c r="D3" s="11" t="s">
        <v>15</v>
      </c>
      <c r="E3" s="56">
        <v>100</v>
      </c>
      <c r="F3" s="78" t="s">
        <v>16</v>
      </c>
      <c r="G3" s="7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38"/>
      <c r="C4" s="15"/>
      <c r="D4" s="16"/>
      <c r="E4" s="56"/>
      <c r="F4" s="17"/>
      <c r="G4" s="1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38">
        <f>SUM(B21-B19)/45</f>
        <v>10.89705069424121</v>
      </c>
      <c r="C5" s="10" t="s">
        <v>14</v>
      </c>
      <c r="D5" s="11" t="s">
        <v>18</v>
      </c>
      <c r="E5" s="56">
        <v>4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38"/>
      <c r="C6" s="15"/>
      <c r="D6" s="16"/>
      <c r="E6" s="56"/>
      <c r="F6" s="17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51</v>
      </c>
      <c r="B7" s="38">
        <f>SUM(B13*E7)/3.4</f>
        <v>4.4117647058823533</v>
      </c>
      <c r="C7" s="10" t="s">
        <v>14</v>
      </c>
      <c r="D7" s="11" t="s">
        <v>21</v>
      </c>
      <c r="E7" s="56">
        <v>3</v>
      </c>
      <c r="F7" s="78" t="s">
        <v>22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38"/>
      <c r="C8" s="15"/>
      <c r="D8" s="16"/>
      <c r="E8" s="56"/>
      <c r="F8" s="17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38">
        <f>SUM(B13*E9)/1.34</f>
        <v>9.3283582089552226</v>
      </c>
      <c r="C9" s="10" t="s">
        <v>14</v>
      </c>
      <c r="D9" s="11" t="s">
        <v>24</v>
      </c>
      <c r="E9" s="56">
        <v>2.5</v>
      </c>
      <c r="F9" s="78" t="s">
        <v>22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38"/>
      <c r="C10" s="15"/>
      <c r="D10" s="16"/>
      <c r="E10" s="56"/>
      <c r="F10" s="17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38">
        <f>SUM(B13*E11)/9</f>
        <v>8.3333333333333339</v>
      </c>
      <c r="C11" s="10" t="s">
        <v>14</v>
      </c>
      <c r="D11" s="11" t="s">
        <v>26</v>
      </c>
      <c r="E11" s="56">
        <v>15</v>
      </c>
      <c r="F11" s="78" t="s">
        <v>27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76"/>
      <c r="C12" s="21"/>
      <c r="D12" s="22"/>
      <c r="E12" s="76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77">
        <v>5</v>
      </c>
      <c r="C13" s="26" t="s">
        <v>29</v>
      </c>
      <c r="D13" s="27" t="s">
        <v>30</v>
      </c>
      <c r="E13" s="28">
        <f>SUM(E19*100)/E15</f>
        <v>5.76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SUM(E3*B13)-B17</f>
        <v>477.92654375182912</v>
      </c>
      <c r="C15" s="58"/>
      <c r="D15" s="37" t="s">
        <v>33</v>
      </c>
      <c r="E15" s="38">
        <f>SUM(B3,B5,B7,B9,B11)</f>
        <v>500.00000000000006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59"/>
      <c r="B16" s="60"/>
      <c r="C16" s="58"/>
      <c r="D16" s="61"/>
      <c r="E16" s="38"/>
      <c r="F16" s="15"/>
      <c r="G16" s="3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22.07345624817091</v>
      </c>
      <c r="C17" s="58"/>
      <c r="D17" s="37" t="s">
        <v>35</v>
      </c>
      <c r="E17" s="38">
        <f>SUM(E15/24)</f>
        <v>20.833333333333336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62"/>
      <c r="B18" s="60"/>
      <c r="C18" s="5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SUM(B15*5)</f>
        <v>2389.6327187591455</v>
      </c>
      <c r="C19" s="5"/>
      <c r="D19" s="45" t="s">
        <v>38</v>
      </c>
      <c r="E19" s="60">
        <f>SUM(B3*0.05)+(B5/2)</f>
        <v>28.8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62"/>
      <c r="B20" s="60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2880</v>
      </c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7"/>
      <c r="B22" s="7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30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233.51474652879395</v>
      </c>
      <c r="C25" s="30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0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5.4485253471206052</v>
      </c>
      <c r="C27" s="30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0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51</v>
      </c>
      <c r="B29" s="38">
        <f>SUM(B7/2)</f>
        <v>2.2058823529411766</v>
      </c>
      <c r="C29" s="30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0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4.6641791044776113</v>
      </c>
      <c r="C31" s="30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0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4.166666666666667</v>
      </c>
      <c r="C33" s="30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3"/>
      <c r="B34" s="51"/>
      <c r="C34" s="30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8" t="s">
        <v>43</v>
      </c>
      <c r="B35" s="38">
        <f>SUM(B25,B27,B29,B31,B33)</f>
        <v>250.00000000000003</v>
      </c>
      <c r="C35" s="30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21"/>
      <c r="B36" s="52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500.00000000000006</v>
      </c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F3:G3"/>
    <mergeCell ref="F5:G5"/>
    <mergeCell ref="F7:G7"/>
    <mergeCell ref="F9:G9"/>
    <mergeCell ref="F11:G11"/>
  </mergeCells>
  <conditionalFormatting sqref="B12 E12 B15 B17 B19 B21">
    <cfRule type="cellIs" dxfId="2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landscape"/>
  <headerFooter>
    <oddFooter>&amp;C000000&amp;P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4.140625" customWidth="1"/>
    <col min="2" max="6" width="7" customWidth="1"/>
    <col min="7" max="7" width="8.42578125" customWidth="1"/>
    <col min="8" max="26" width="10.42578125" customWidth="1"/>
  </cols>
  <sheetData>
    <row r="1" spans="1:26" ht="12.75" customHeight="1" x14ac:dyDescent="0.2">
      <c r="A1" s="80" t="s">
        <v>52</v>
      </c>
      <c r="B1" s="81"/>
      <c r="C1" s="81"/>
      <c r="D1" s="81"/>
      <c r="E1" s="79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5"/>
      <c r="E2" s="7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38">
        <f>SUM(E3-E21)</f>
        <v>451.48055279159757</v>
      </c>
      <c r="C3" s="10" t="s">
        <v>14</v>
      </c>
      <c r="D3" s="11" t="s">
        <v>15</v>
      </c>
      <c r="E3" s="56">
        <v>600</v>
      </c>
      <c r="F3" s="78" t="s">
        <v>45</v>
      </c>
      <c r="G3" s="7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38"/>
      <c r="C4" s="15"/>
      <c r="D4" s="16"/>
      <c r="E4" s="56"/>
      <c r="F4" s="30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38">
        <f>SUM(B19/45)</f>
        <v>8.4199447208402383</v>
      </c>
      <c r="C5" s="10" t="s">
        <v>14</v>
      </c>
      <c r="D5" s="11" t="s">
        <v>18</v>
      </c>
      <c r="E5" s="56">
        <v>1.5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38"/>
      <c r="C6" s="15"/>
      <c r="D6" s="16"/>
      <c r="E6" s="56"/>
      <c r="F6" s="30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20</v>
      </c>
      <c r="B7" s="38">
        <f>SUM(E3/100)*E7/0.15</f>
        <v>120</v>
      </c>
      <c r="C7" s="10" t="s">
        <v>14</v>
      </c>
      <c r="D7" s="11" t="s">
        <v>21</v>
      </c>
      <c r="E7" s="56">
        <v>3</v>
      </c>
      <c r="F7" s="78" t="s">
        <v>46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38"/>
      <c r="C8" s="15"/>
      <c r="D8" s="16"/>
      <c r="E8" s="56"/>
      <c r="F8" s="30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38">
        <f>SUM(E3/100)*E9/1.34</f>
        <v>13.432835820895521</v>
      </c>
      <c r="C9" s="10" t="s">
        <v>14</v>
      </c>
      <c r="D9" s="11" t="s">
        <v>24</v>
      </c>
      <c r="E9" s="56">
        <v>3</v>
      </c>
      <c r="F9" s="78" t="s">
        <v>46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38"/>
      <c r="C10" s="15"/>
      <c r="D10" s="16"/>
      <c r="E10" s="56"/>
      <c r="F10" s="30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38">
        <f>SUM(E3/100)*E11/9</f>
        <v>6.666666666666667</v>
      </c>
      <c r="C11" s="10" t="s">
        <v>14</v>
      </c>
      <c r="D11" s="11" t="s">
        <v>26</v>
      </c>
      <c r="E11" s="56">
        <v>10</v>
      </c>
      <c r="F11" s="78" t="s">
        <v>47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57"/>
      <c r="C12" s="21"/>
      <c r="D12" s="22"/>
      <c r="E12" s="32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25">
        <v>12.4</v>
      </c>
      <c r="C13" s="26" t="s">
        <v>29</v>
      </c>
      <c r="D13" s="27" t="s">
        <v>30</v>
      </c>
      <c r="E13" s="28">
        <f>SUM(E19*100)/E15</f>
        <v>4.4640000000000004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SUM(E3-B17)*5</f>
        <v>2299.5024875621893</v>
      </c>
      <c r="C15" s="58"/>
      <c r="D15" s="37" t="s">
        <v>33</v>
      </c>
      <c r="E15" s="38">
        <f>SUM(B3,B5,B7,B9,B11)</f>
        <v>600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59"/>
      <c r="B16" s="60"/>
      <c r="C16" s="58"/>
      <c r="D16" s="61"/>
      <c r="E16" s="38"/>
      <c r="F16" s="15"/>
      <c r="G16" s="3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140.09950248756218</v>
      </c>
      <c r="C17" s="58"/>
      <c r="D17" s="37" t="s">
        <v>35</v>
      </c>
      <c r="E17" s="38">
        <f>SUM(E15/24)</f>
        <v>25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62"/>
      <c r="B18" s="60"/>
      <c r="C18" s="5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SUM(B21-B15)</f>
        <v>378.89751243781075</v>
      </c>
      <c r="C19" s="5"/>
      <c r="D19" s="45" t="s">
        <v>38</v>
      </c>
      <c r="E19" s="60">
        <f>SUM(B3*0.05)+(B5/2)</f>
        <v>26.783999999999999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62"/>
      <c r="B20" s="60"/>
      <c r="C20" s="5"/>
      <c r="D20" s="62"/>
      <c r="E20" s="60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2678.4</v>
      </c>
      <c r="C21" s="5"/>
      <c r="D21" s="45" t="s">
        <v>48</v>
      </c>
      <c r="E21" s="63">
        <f>SUM(B5+B7+B9+B11)</f>
        <v>148.51944720840243</v>
      </c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7"/>
      <c r="B22" s="7"/>
      <c r="C22" s="7"/>
      <c r="D22" s="7"/>
      <c r="E22" s="7"/>
      <c r="F22" s="7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50">
        <v>3</v>
      </c>
      <c r="D23" s="50">
        <v>4</v>
      </c>
      <c r="E23" s="50">
        <v>6</v>
      </c>
      <c r="F23" s="50">
        <v>8</v>
      </c>
      <c r="G23" s="3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31"/>
      <c r="D24" s="31"/>
      <c r="E24" s="31"/>
      <c r="F24" s="31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225.74027639579879</v>
      </c>
      <c r="C25" s="38">
        <f>SUM(B3/3)</f>
        <v>150.4935175971992</v>
      </c>
      <c r="D25" s="38">
        <f>SUM(B3/4)</f>
        <v>112.87013819789939</v>
      </c>
      <c r="E25" s="38">
        <f>SUM(B3/6)</f>
        <v>75.2467587985996</v>
      </c>
      <c r="F25" s="38">
        <f>SUM(B3/8)</f>
        <v>56.435069098949697</v>
      </c>
      <c r="G25" s="3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8"/>
      <c r="D26" s="38"/>
      <c r="E26" s="38"/>
      <c r="F26" s="38"/>
      <c r="G26" s="3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4.2099723604201191</v>
      </c>
      <c r="C27" s="38">
        <f>SUM(B5/3)</f>
        <v>2.8066482402800794</v>
      </c>
      <c r="D27" s="38">
        <f>SUM(B5/4)</f>
        <v>2.1049861802100596</v>
      </c>
      <c r="E27" s="38">
        <f>SUM(B5/6)</f>
        <v>1.4033241201400397</v>
      </c>
      <c r="F27" s="38">
        <f>SUM(B5/8)</f>
        <v>1.0524930901050298</v>
      </c>
      <c r="G27" s="3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8"/>
      <c r="D28" s="38"/>
      <c r="E28" s="38"/>
      <c r="F28" s="38"/>
      <c r="G28" s="3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20</v>
      </c>
      <c r="B29" s="38">
        <f>SUM(B7/2)</f>
        <v>60</v>
      </c>
      <c r="C29" s="38">
        <f>SUM(B7/3)</f>
        <v>40</v>
      </c>
      <c r="D29" s="38">
        <f>SUM(B7/4)</f>
        <v>30</v>
      </c>
      <c r="E29" s="38">
        <f>SUM(B7/6)</f>
        <v>20</v>
      </c>
      <c r="F29" s="38">
        <f>SUM(B7/8)</f>
        <v>15</v>
      </c>
      <c r="G29" s="3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8"/>
      <c r="D30" s="38"/>
      <c r="E30" s="38"/>
      <c r="F30" s="38"/>
      <c r="G30" s="3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6.7164179104477606</v>
      </c>
      <c r="C31" s="38">
        <f>SUM(B9/3)</f>
        <v>4.4776119402985071</v>
      </c>
      <c r="D31" s="38">
        <f>SUM(B9/4)</f>
        <v>3.3582089552238803</v>
      </c>
      <c r="E31" s="38">
        <f>SUM(B9/6)</f>
        <v>2.2388059701492535</v>
      </c>
      <c r="F31" s="38">
        <f>SUM(B9/8)</f>
        <v>1.6791044776119401</v>
      </c>
      <c r="G31" s="3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8"/>
      <c r="D32" s="38"/>
      <c r="E32" s="38"/>
      <c r="F32" s="38"/>
      <c r="G32" s="3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3.3333333333333335</v>
      </c>
      <c r="C33" s="38">
        <f>SUM(B11/3)</f>
        <v>2.2222222222222223</v>
      </c>
      <c r="D33" s="38">
        <f>SUM(B11/4)</f>
        <v>1.6666666666666667</v>
      </c>
      <c r="E33" s="38">
        <f>SUM(B11/6)</f>
        <v>1.1111111111111112</v>
      </c>
      <c r="F33" s="38">
        <f>SUM(B11/8)</f>
        <v>0.83333333333333337</v>
      </c>
      <c r="G33" s="3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3"/>
      <c r="B34" s="51"/>
      <c r="C34" s="51"/>
      <c r="D34" s="51"/>
      <c r="E34" s="51"/>
      <c r="F34" s="51"/>
      <c r="G34" s="3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8" t="s">
        <v>43</v>
      </c>
      <c r="B35" s="38">
        <f t="shared" ref="B35:F35" si="0">SUM(B25,B27,B29,B31,B33)</f>
        <v>300</v>
      </c>
      <c r="C35" s="38">
        <f t="shared" si="0"/>
        <v>200.00000000000003</v>
      </c>
      <c r="D35" s="38">
        <f t="shared" si="0"/>
        <v>150</v>
      </c>
      <c r="E35" s="38">
        <f t="shared" si="0"/>
        <v>100.00000000000001</v>
      </c>
      <c r="F35" s="38">
        <f t="shared" si="0"/>
        <v>75</v>
      </c>
      <c r="G35" s="3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21"/>
      <c r="B36" s="52"/>
      <c r="C36" s="52"/>
      <c r="D36" s="52"/>
      <c r="E36" s="52"/>
      <c r="F36" s="52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600</v>
      </c>
      <c r="C37" s="53">
        <f>SUM(C35*3)</f>
        <v>600.00000000000011</v>
      </c>
      <c r="D37" s="53">
        <f>SUM(D35*4)</f>
        <v>600</v>
      </c>
      <c r="E37" s="53">
        <f>SUM(E35*6)</f>
        <v>600.00000000000011</v>
      </c>
      <c r="F37" s="53">
        <f>SUM(F35*8)</f>
        <v>600</v>
      </c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F11:G11"/>
    <mergeCell ref="A1:E1"/>
    <mergeCell ref="F3:G3"/>
    <mergeCell ref="F5:G5"/>
    <mergeCell ref="F7:G7"/>
    <mergeCell ref="F9:G9"/>
  </mergeCells>
  <conditionalFormatting sqref="B13 B15 B17 B19 B21">
    <cfRule type="cellIs" dxfId="1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landscape"/>
  <headerFooter>
    <oddFooter>&amp;C000000&amp;P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4" customWidth="1"/>
    <col min="2" max="26" width="10.42578125" customWidth="1"/>
  </cols>
  <sheetData>
    <row r="1" spans="1:26" ht="12.75" customHeight="1" x14ac:dyDescent="0.2">
      <c r="A1" s="80" t="s">
        <v>53</v>
      </c>
      <c r="B1" s="81"/>
      <c r="C1" s="81"/>
      <c r="D1" s="79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7"/>
      <c r="B2" s="7"/>
      <c r="C2" s="7"/>
      <c r="D2" s="5"/>
      <c r="E2" s="7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 t="s">
        <v>13</v>
      </c>
      <c r="B3" s="38">
        <f>SUM(E3-E21)</f>
        <v>404.30071862907687</v>
      </c>
      <c r="C3" s="10" t="s">
        <v>14</v>
      </c>
      <c r="D3" s="11" t="s">
        <v>15</v>
      </c>
      <c r="E3" s="56">
        <v>500</v>
      </c>
      <c r="F3" s="78" t="s">
        <v>45</v>
      </c>
      <c r="G3" s="7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3"/>
      <c r="B4" s="38"/>
      <c r="C4" s="15"/>
      <c r="D4" s="16"/>
      <c r="E4" s="56"/>
      <c r="F4" s="30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8" t="s">
        <v>17</v>
      </c>
      <c r="B5" s="38">
        <f>SUM(B19/45)</f>
        <v>31.569928137092312</v>
      </c>
      <c r="C5" s="10" t="s">
        <v>14</v>
      </c>
      <c r="D5" s="11" t="s">
        <v>18</v>
      </c>
      <c r="E5" s="56">
        <v>1</v>
      </c>
      <c r="F5" s="78" t="s">
        <v>19</v>
      </c>
      <c r="G5" s="7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13"/>
      <c r="B6" s="38"/>
      <c r="C6" s="15"/>
      <c r="D6" s="16"/>
      <c r="E6" s="56"/>
      <c r="F6" s="30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8" t="s">
        <v>20</v>
      </c>
      <c r="B7" s="38">
        <f>SUM(E3/100)*E7/0.15</f>
        <v>56.666666666666671</v>
      </c>
      <c r="C7" s="10" t="s">
        <v>14</v>
      </c>
      <c r="D7" s="11" t="s">
        <v>21</v>
      </c>
      <c r="E7" s="56">
        <v>1.7</v>
      </c>
      <c r="F7" s="78" t="s">
        <v>46</v>
      </c>
      <c r="G7" s="7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13"/>
      <c r="B8" s="38"/>
      <c r="C8" s="15"/>
      <c r="D8" s="16"/>
      <c r="E8" s="56"/>
      <c r="F8" s="30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8" t="s">
        <v>23</v>
      </c>
      <c r="B9" s="38">
        <f>SUM(E3/100)*E9/1.34</f>
        <v>7.4626865671641784</v>
      </c>
      <c r="C9" s="10" t="s">
        <v>14</v>
      </c>
      <c r="D9" s="11" t="s">
        <v>24</v>
      </c>
      <c r="E9" s="56">
        <v>2</v>
      </c>
      <c r="F9" s="78" t="s">
        <v>46</v>
      </c>
      <c r="G9" s="7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">
      <c r="A10" s="13"/>
      <c r="B10" s="38"/>
      <c r="C10" s="15"/>
      <c r="D10" s="16"/>
      <c r="E10" s="56"/>
      <c r="F10" s="30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">
      <c r="A11" s="8" t="s">
        <v>25</v>
      </c>
      <c r="B11" s="38">
        <f>SUM(E3/100)*E11/9</f>
        <v>0</v>
      </c>
      <c r="C11" s="10" t="s">
        <v>14</v>
      </c>
      <c r="D11" s="11" t="s">
        <v>26</v>
      </c>
      <c r="E11" s="56">
        <v>0</v>
      </c>
      <c r="F11" s="78" t="s">
        <v>47</v>
      </c>
      <c r="G11" s="7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">
      <c r="A12" s="19"/>
      <c r="B12" s="20"/>
      <c r="C12" s="21"/>
      <c r="D12" s="22"/>
      <c r="E12" s="32"/>
      <c r="F12" s="7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24" t="s">
        <v>28</v>
      </c>
      <c r="B13" s="25">
        <v>25</v>
      </c>
      <c r="C13" s="26" t="s">
        <v>29</v>
      </c>
      <c r="D13" s="27" t="s">
        <v>30</v>
      </c>
      <c r="E13" s="28">
        <f>SUM(E19*100)/E15</f>
        <v>7.2</v>
      </c>
      <c r="F13" s="29" t="s">
        <v>31</v>
      </c>
      <c r="G13" s="3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7"/>
      <c r="B14" s="21"/>
      <c r="C14" s="5"/>
      <c r="D14" s="31"/>
      <c r="E14" s="32"/>
      <c r="F14" s="33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34" t="s">
        <v>32</v>
      </c>
      <c r="B15" s="35">
        <f>SUM(E3-B17)*5</f>
        <v>2179.353233830846</v>
      </c>
      <c r="C15" s="58"/>
      <c r="D15" s="37" t="s">
        <v>33</v>
      </c>
      <c r="E15" s="38">
        <f>SUM(B3,B5,B7,B9,B11)</f>
        <v>500</v>
      </c>
      <c r="F15" s="10" t="s">
        <v>14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59"/>
      <c r="B16" s="60"/>
      <c r="C16" s="58"/>
      <c r="D16" s="61"/>
      <c r="E16" s="38"/>
      <c r="F16" s="15"/>
      <c r="G16" s="3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45" t="s">
        <v>34</v>
      </c>
      <c r="B17" s="46">
        <f>SUM(B7+B9+B11)</f>
        <v>64.129353233830855</v>
      </c>
      <c r="C17" s="58"/>
      <c r="D17" s="37" t="s">
        <v>35</v>
      </c>
      <c r="E17" s="38">
        <f>SUM(E15/24)</f>
        <v>20.833333333333332</v>
      </c>
      <c r="F17" s="10" t="s">
        <v>36</v>
      </c>
      <c r="G17" s="3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62"/>
      <c r="B18" s="60"/>
      <c r="C18" s="5"/>
      <c r="D18" s="21"/>
      <c r="E18" s="21"/>
      <c r="F18" s="21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45" t="s">
        <v>37</v>
      </c>
      <c r="B19" s="46">
        <f>SUM(B21-B15)</f>
        <v>1420.646766169154</v>
      </c>
      <c r="C19" s="5"/>
      <c r="D19" s="45" t="s">
        <v>38</v>
      </c>
      <c r="E19" s="60">
        <f>SUM(B3*0.05)+(B5/2)</f>
        <v>36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62"/>
      <c r="B20" s="60"/>
      <c r="C20" s="5"/>
      <c r="D20" s="62"/>
      <c r="E20" s="60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45" t="s">
        <v>39</v>
      </c>
      <c r="B21" s="46">
        <f>SUM(B13*E5*144)</f>
        <v>3600</v>
      </c>
      <c r="C21" s="5"/>
      <c r="D21" s="45" t="s">
        <v>48</v>
      </c>
      <c r="E21" s="72">
        <f>SUM(B5+B7+B9+B11)</f>
        <v>95.69928137092316</v>
      </c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7"/>
      <c r="B22" s="7"/>
      <c r="C22" s="7"/>
      <c r="D22" s="7"/>
      <c r="E22" s="7"/>
      <c r="F22" s="7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49" t="s">
        <v>40</v>
      </c>
      <c r="B23" s="50">
        <v>2</v>
      </c>
      <c r="C23" s="50">
        <v>3</v>
      </c>
      <c r="D23" s="50">
        <v>4</v>
      </c>
      <c r="E23" s="50">
        <v>6</v>
      </c>
      <c r="F23" s="50">
        <v>8</v>
      </c>
      <c r="G23" s="3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33"/>
      <c r="B24" s="31"/>
      <c r="C24" s="31"/>
      <c r="D24" s="31"/>
      <c r="E24" s="31"/>
      <c r="F24" s="31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8" t="s">
        <v>41</v>
      </c>
      <c r="B25" s="38">
        <f>SUM(B3/2)</f>
        <v>202.15035931453843</v>
      </c>
      <c r="C25" s="38">
        <f>SUM(B3/3)</f>
        <v>134.76690620969228</v>
      </c>
      <c r="D25" s="38">
        <f>SUM(B3/4)</f>
        <v>101.07517965726922</v>
      </c>
      <c r="E25" s="38">
        <f>SUM(B3/6)</f>
        <v>67.38345310484614</v>
      </c>
      <c r="F25" s="38">
        <f>SUM(B3/8)</f>
        <v>50.537589828634609</v>
      </c>
      <c r="G25" s="3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3"/>
      <c r="B26" s="38"/>
      <c r="C26" s="38"/>
      <c r="D26" s="38"/>
      <c r="E26" s="38"/>
      <c r="F26" s="38"/>
      <c r="G26" s="3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8" t="s">
        <v>17</v>
      </c>
      <c r="B27" s="38">
        <f>SUM(B5/2)</f>
        <v>15.784964068546156</v>
      </c>
      <c r="C27" s="38">
        <f>SUM(B5/3)</f>
        <v>10.523309379030771</v>
      </c>
      <c r="D27" s="38">
        <f>SUM(B5/4)</f>
        <v>7.8924820342730779</v>
      </c>
      <c r="E27" s="38">
        <f>SUM(B5/6)</f>
        <v>5.2616546895153853</v>
      </c>
      <c r="F27" s="38">
        <f>SUM(B5/8)</f>
        <v>3.946241017136539</v>
      </c>
      <c r="G27" s="3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3"/>
      <c r="B28" s="38"/>
      <c r="C28" s="38"/>
      <c r="D28" s="38"/>
      <c r="E28" s="38"/>
      <c r="F28" s="38"/>
      <c r="G28" s="3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8" t="s">
        <v>20</v>
      </c>
      <c r="B29" s="38">
        <f>SUM(B7/2)</f>
        <v>28.333333333333336</v>
      </c>
      <c r="C29" s="38">
        <f>SUM(B7/3)</f>
        <v>18.888888888888889</v>
      </c>
      <c r="D29" s="38">
        <f>SUM(B7/4)</f>
        <v>14.166666666666668</v>
      </c>
      <c r="E29" s="38">
        <f>SUM(B7/6)</f>
        <v>9.4444444444444446</v>
      </c>
      <c r="F29" s="38">
        <f>SUM(B7/8)</f>
        <v>7.0833333333333339</v>
      </c>
      <c r="G29" s="3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3"/>
      <c r="B30" s="38"/>
      <c r="C30" s="38"/>
      <c r="D30" s="38"/>
      <c r="E30" s="38"/>
      <c r="F30" s="38"/>
      <c r="G30" s="3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8" t="s">
        <v>23</v>
      </c>
      <c r="B31" s="38">
        <f>SUM(B9/2)</f>
        <v>3.7313432835820892</v>
      </c>
      <c r="C31" s="38">
        <f>SUM(B9/3)</f>
        <v>2.4875621890547261</v>
      </c>
      <c r="D31" s="38">
        <f>SUM(B9/4)</f>
        <v>1.8656716417910446</v>
      </c>
      <c r="E31" s="38">
        <f>SUM(B9/6)</f>
        <v>1.2437810945273631</v>
      </c>
      <c r="F31" s="38">
        <f>SUM(B9/8)</f>
        <v>0.93283582089552231</v>
      </c>
      <c r="G31" s="3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3"/>
      <c r="B32" s="38"/>
      <c r="C32" s="38"/>
      <c r="D32" s="38"/>
      <c r="E32" s="38"/>
      <c r="F32" s="38"/>
      <c r="G32" s="3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8" t="s">
        <v>42</v>
      </c>
      <c r="B33" s="38">
        <f>SUM(B11/2)</f>
        <v>0</v>
      </c>
      <c r="C33" s="38">
        <f>SUM(B11/3)</f>
        <v>0</v>
      </c>
      <c r="D33" s="38">
        <f>SUM(B11/4)</f>
        <v>0</v>
      </c>
      <c r="E33" s="38">
        <f>SUM(B11/6)</f>
        <v>0</v>
      </c>
      <c r="F33" s="38">
        <f>SUM(B11/8)</f>
        <v>0</v>
      </c>
      <c r="G33" s="3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3"/>
      <c r="B34" s="51"/>
      <c r="C34" s="51"/>
      <c r="D34" s="51"/>
      <c r="E34" s="51"/>
      <c r="F34" s="51"/>
      <c r="G34" s="3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8" t="s">
        <v>43</v>
      </c>
      <c r="B35" s="38">
        <f t="shared" ref="B35:F35" si="0">SUM(B25,B27,B29,B31,B33)</f>
        <v>250</v>
      </c>
      <c r="C35" s="38">
        <f t="shared" si="0"/>
        <v>166.66666666666666</v>
      </c>
      <c r="D35" s="38">
        <f t="shared" si="0"/>
        <v>125</v>
      </c>
      <c r="E35" s="38">
        <f t="shared" si="0"/>
        <v>83.333333333333329</v>
      </c>
      <c r="F35" s="38">
        <f t="shared" si="0"/>
        <v>62.5</v>
      </c>
      <c r="G35" s="3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21"/>
      <c r="B36" s="52"/>
      <c r="C36" s="52"/>
      <c r="D36" s="52"/>
      <c r="E36" s="52"/>
      <c r="F36" s="52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5"/>
      <c r="B37" s="53">
        <f>SUM(B35*2)</f>
        <v>500</v>
      </c>
      <c r="C37" s="53">
        <f>SUM(C35*3)</f>
        <v>500</v>
      </c>
      <c r="D37" s="53">
        <f>SUM(D35*4)</f>
        <v>500</v>
      </c>
      <c r="E37" s="53">
        <f>SUM(E35*6)</f>
        <v>500</v>
      </c>
      <c r="F37" s="53">
        <f>SUM(F35*8)</f>
        <v>500</v>
      </c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F11:G11"/>
    <mergeCell ref="A1:D1"/>
    <mergeCell ref="F3:G3"/>
    <mergeCell ref="F5:G5"/>
    <mergeCell ref="F7:G7"/>
    <mergeCell ref="F9:G9"/>
  </mergeCells>
  <conditionalFormatting sqref="B13 B15 B17 B19 B21">
    <cfRule type="cellIs" dxfId="0" priority="1" stopIfTrue="1" operator="lessThan">
      <formula>0</formula>
    </cfRule>
  </conditionalFormatting>
  <pageMargins left="0.78740200000000005" right="0.78740200000000005" top="0.98425200000000002" bottom="0.98425200000000002" header="0" footer="0"/>
  <pageSetup orientation="landscape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da Exportação</vt:lpstr>
      <vt:lpstr>Até 10 Kg SF</vt:lpstr>
      <vt:lpstr>10 a 20 Kg</vt:lpstr>
      <vt:lpstr>Acima de 20 Kg</vt:lpstr>
      <vt:lpstr>Até 10 Kg 10%</vt:lpstr>
      <vt:lpstr>Até 10 Kg 20%</vt:lpstr>
      <vt:lpstr>10 a 20 Kg parcial</vt:lpstr>
      <vt:lpstr>Acima de 20 Kg parcial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PLANTONISTA</dc:creator>
  <cp:lastModifiedBy>PLANTONISTA</cp:lastModifiedBy>
  <dcterms:created xsi:type="dcterms:W3CDTF">2026-08-11T15:11:20Z</dcterms:created>
  <dcterms:modified xsi:type="dcterms:W3CDTF">2026-08-11T15:11:20Z</dcterms:modified>
</cp:coreProperties>
</file>